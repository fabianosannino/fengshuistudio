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ções" sheetId="1" state="visible" r:id="rId1"/>
    <sheet xmlns:r="http://schemas.openxmlformats.org/officeDocument/2006/relationships" name="👤 Cliente" sheetId="2" state="visible" r:id="rId2"/>
    <sheet xmlns:r="http://schemas.openxmlformats.org/officeDocument/2006/relationships" name="🗺️ Ba Gua Map" sheetId="3" state="visible" r:id="rId3"/>
    <sheet xmlns:r="http://schemas.openxmlformats.org/officeDocument/2006/relationships" name="🔍 Diagnóstico" sheetId="4" state="visible" r:id="rId4"/>
    <sheet xmlns:r="http://schemas.openxmlformats.org/officeDocument/2006/relationships" name="📊 Score Energético" sheetId="5" state="visible" r:id="rId5"/>
    <sheet xmlns:r="http://schemas.openxmlformats.org/officeDocument/2006/relationships" name="💊 Prescrições" sheetId="6" state="visible" r:id="rId6"/>
    <sheet xmlns:r="http://schemas.openxmlformats.org/officeDocument/2006/relationships" name="📅 Cronograma Lunar" sheetId="7" state="visible" r:id="rId7"/>
    <sheet xmlns:r="http://schemas.openxmlformats.org/officeDocument/2006/relationships" name="📄 Relatóri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6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4A235A"/>
      <sz val="12"/>
    </font>
    <font>
      <name val="Arial"/>
      <b val="1"/>
      <color rgb="004A235A"/>
      <sz val="13"/>
    </font>
    <font>
      <name val="Arial"/>
      <b val="1"/>
      <color rgb="00FFFFFF"/>
      <sz val="10"/>
    </font>
    <font>
      <name val="Arial"/>
      <b val="1"/>
      <color rgb="004A235A"/>
      <sz val="10"/>
    </font>
    <font>
      <name val="Arial"/>
      <color rgb="001C2833"/>
      <sz val="10"/>
    </font>
    <font>
      <name val="Arial"/>
      <b val="1"/>
      <color rgb="00B7950B"/>
      <sz val="14"/>
    </font>
    <font>
      <name val="Arial"/>
      <b val="1"/>
      <color rgb="001C2833"/>
      <sz val="10"/>
    </font>
    <font>
      <name val="Arial"/>
      <color rgb="007D3C98"/>
      <sz val="10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b val="1"/>
      <color rgb="007B241C"/>
      <sz val="10"/>
    </font>
    <font>
      <name val="Arial"/>
      <b val="1"/>
      <color rgb="00784212"/>
      <sz val="10"/>
    </font>
    <font>
      <name val="Arial"/>
      <b val="1"/>
      <color rgb="0076448A"/>
      <sz val="10"/>
    </font>
    <font>
      <name val="Arial"/>
      <b val="1"/>
      <color rgb="001A5276"/>
      <sz val="10"/>
    </font>
    <font>
      <name val="Arial"/>
      <b val="1"/>
      <color rgb="001E8449"/>
      <sz val="10"/>
    </font>
    <font>
      <name val="Arial"/>
      <b val="1"/>
      <color rgb="00922B21"/>
      <sz val="10"/>
    </font>
    <font>
      <name val="Arial"/>
      <b val="1"/>
      <color rgb="000E6655"/>
      <sz val="10"/>
    </font>
    <font>
      <name val="Arial"/>
      <b val="1"/>
      <color rgb="00566573"/>
      <sz val="10"/>
    </font>
    <font>
      <name val="Arial"/>
      <b val="1"/>
      <color rgb="00B7950B"/>
      <sz val="10"/>
    </font>
    <font>
      <name val="Arial"/>
      <i val="1"/>
      <color rgb="001A5276"/>
      <sz val="9"/>
    </font>
    <font>
      <name val="Arial"/>
      <b val="1"/>
      <color rgb="00FFFFFF"/>
      <sz val="9"/>
    </font>
    <font>
      <name val="Arial"/>
      <b val="1"/>
      <color rgb="00566573"/>
      <sz val="9"/>
    </font>
    <font>
      <name val="Arial"/>
      <i val="1"/>
      <color rgb="004A235A"/>
      <sz val="10"/>
    </font>
    <font>
      <name val="Arial"/>
      <b val="1"/>
      <color rgb="007B241C"/>
      <sz val="9"/>
    </font>
    <font>
      <name val="Arial"/>
      <i val="1"/>
      <color rgb="007B241C"/>
      <sz val="9"/>
    </font>
    <font>
      <name val="Arial"/>
      <color rgb="001C2833"/>
      <sz val="9"/>
    </font>
    <font>
      <name val="Arial"/>
      <b val="1"/>
      <color rgb="007B241C"/>
      <sz val="11"/>
    </font>
    <font>
      <name val="Arial"/>
      <b val="1"/>
      <color rgb="00922B21"/>
      <sz val="9"/>
    </font>
    <font>
      <name val="Arial"/>
      <i val="1"/>
      <color rgb="00922B21"/>
      <sz val="9"/>
    </font>
    <font>
      <name val="Arial"/>
      <b val="1"/>
      <color rgb="00922B21"/>
      <sz val="11"/>
    </font>
    <font>
      <name val="Arial"/>
      <b val="1"/>
      <color rgb="0076448A"/>
      <sz val="9"/>
    </font>
    <font>
      <name val="Arial"/>
      <i val="1"/>
      <color rgb="0076448A"/>
      <sz val="9"/>
    </font>
    <font>
      <name val="Arial"/>
      <b val="1"/>
      <color rgb="0076448A"/>
      <sz val="11"/>
    </font>
    <font>
      <name val="Arial"/>
      <b val="1"/>
      <color rgb="001E8449"/>
      <sz val="9"/>
    </font>
    <font>
      <name val="Arial"/>
      <i val="1"/>
      <color rgb="001E8449"/>
      <sz val="9"/>
    </font>
    <font>
      <name val="Arial"/>
      <b val="1"/>
      <color rgb="001E8449"/>
      <sz val="11"/>
    </font>
    <font>
      <name val="Arial"/>
      <b val="1"/>
      <color rgb="00784212"/>
      <sz val="9"/>
    </font>
    <font>
      <name val="Arial"/>
      <i val="1"/>
      <color rgb="00784212"/>
      <sz val="9"/>
    </font>
    <font>
      <name val="Arial"/>
      <b val="1"/>
      <color rgb="00784212"/>
      <sz val="11"/>
    </font>
    <font>
      <name val="Arial"/>
      <b val="1"/>
      <color rgb="001A5276"/>
      <sz val="9"/>
    </font>
    <font>
      <name val="Arial"/>
      <b val="1"/>
      <color rgb="001A5276"/>
      <sz val="11"/>
    </font>
    <font>
      <name val="Arial"/>
      <b val="1"/>
      <color rgb="000E6655"/>
      <sz val="9"/>
    </font>
    <font>
      <name val="Arial"/>
      <i val="1"/>
      <color rgb="000E6655"/>
      <sz val="9"/>
    </font>
    <font>
      <name val="Arial"/>
      <b val="1"/>
      <color rgb="000E6655"/>
      <sz val="11"/>
    </font>
    <font>
      <name val="Arial"/>
      <i val="1"/>
      <color rgb="00566573"/>
      <sz val="9"/>
    </font>
    <font>
      <name val="Arial"/>
      <b val="1"/>
      <color rgb="00566573"/>
      <sz val="11"/>
    </font>
    <font>
      <name val="Arial"/>
      <color rgb="001E8449"/>
      <sz val="10"/>
    </font>
    <font>
      <name val="Arial"/>
      <color rgb="00B7950B"/>
      <sz val="10"/>
    </font>
    <font>
      <name val="Arial"/>
      <b val="1"/>
      <color rgb="00BA4A00"/>
      <sz val="10"/>
    </font>
    <font>
      <name val="Arial"/>
      <color rgb="00BA4A00"/>
      <sz val="10"/>
    </font>
    <font>
      <name val="Arial"/>
      <color rgb="00922B21"/>
      <sz val="10"/>
    </font>
    <font>
      <name val="Arial"/>
      <b val="1"/>
      <color rgb="001C2833"/>
      <sz val="11"/>
    </font>
    <font>
      <name val="Arial"/>
      <color rgb="00566573"/>
      <sz val="10"/>
    </font>
    <font>
      <name val="Arial"/>
      <color rgb="001A5276"/>
      <sz val="10"/>
    </font>
    <font>
      <name val="Arial"/>
      <b val="1"/>
      <color rgb="001C2833"/>
      <sz val="9"/>
    </font>
    <font>
      <name val="Arial"/>
      <i val="1"/>
      <color rgb="004A235A"/>
      <sz val="8"/>
    </font>
    <font>
      <name val="Arial"/>
      <i val="1"/>
      <color rgb="001A5276"/>
      <sz val="8"/>
    </font>
    <font>
      <name val="Arial"/>
      <b val="1"/>
      <color rgb="00BA4A00"/>
      <sz val="9"/>
    </font>
    <font>
      <name val="Arial"/>
      <b val="1"/>
      <color rgb="00B7950B"/>
      <sz val="9"/>
    </font>
    <font>
      <name val="Arial"/>
      <b val="1"/>
      <color rgb="00BFBFBF"/>
      <sz val="10"/>
    </font>
    <font>
      <name val="Arial"/>
      <i val="1"/>
      <color rgb="00BFBFBF"/>
      <sz val="10"/>
    </font>
    <font>
      <name val="Arial"/>
      <b val="1"/>
      <color rgb="007D6608"/>
      <sz val="10"/>
    </font>
    <font>
      <name val="Arial"/>
      <i val="1"/>
      <color rgb="007D6608"/>
      <sz val="10"/>
    </font>
    <font>
      <name val="Arial"/>
      <b val="1"/>
      <color rgb="007D3C98"/>
      <sz val="10"/>
    </font>
    <font>
      <name val="Arial"/>
      <i val="1"/>
      <color rgb="007D3C98"/>
      <sz val="10"/>
    </font>
    <font>
      <name val="Arial"/>
      <i val="1"/>
      <color rgb="001A5276"/>
      <sz val="10"/>
    </font>
    <font>
      <name val="Arial"/>
      <color rgb="004A235A"/>
      <sz val="14"/>
    </font>
    <font>
      <name val="Arial"/>
      <b val="1"/>
      <color rgb="00FFFFFF"/>
      <sz val="18"/>
    </font>
    <font>
      <name val="Arial"/>
      <i val="1"/>
      <color rgb="007D3C98"/>
      <sz val="11"/>
    </font>
    <font>
      <name val="Arial"/>
      <b val="1"/>
      <color rgb="004A235A"/>
      <sz val="9"/>
    </font>
    <font>
      <name val="Arial"/>
      <color rgb="004A235A"/>
      <sz val="9"/>
    </font>
    <font>
      <name val="Arial"/>
      <b val="1"/>
      <color rgb="00B7950B"/>
      <sz val="11"/>
    </font>
    <font>
      <name val="Arial"/>
      <color rgb="004A235A"/>
      <sz val="10"/>
    </font>
    <font>
      <name val="Arial"/>
      <b val="1"/>
      <color rgb="00BA4A00"/>
      <sz val="12"/>
    </font>
  </fonts>
  <fills count="28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F5EEF8"/>
      </patternFill>
    </fill>
    <fill>
      <patternFill patternType="solid">
        <fgColor rgb="00FFFFFF"/>
      </patternFill>
    </fill>
    <fill>
      <patternFill patternType="solid">
        <fgColor rgb="007D3C98"/>
      </patternFill>
    </fill>
    <fill>
      <patternFill patternType="solid">
        <fgColor rgb="00FCF3CF"/>
      </patternFill>
    </fill>
    <fill>
      <patternFill patternType="solid">
        <fgColor rgb="00F2F3F4"/>
      </patternFill>
    </fill>
    <fill>
      <patternFill patternType="solid">
        <fgColor rgb="00FDEDEC"/>
      </patternFill>
    </fill>
    <fill>
      <patternFill patternType="solid">
        <fgColor rgb="00FEF9E7"/>
      </patternFill>
    </fill>
    <fill>
      <patternFill patternType="solid">
        <fgColor rgb="00EAF2F8"/>
      </patternFill>
    </fill>
    <fill>
      <patternFill patternType="solid">
        <fgColor rgb="00E9F7EF"/>
      </patternFill>
    </fill>
    <fill>
      <patternFill patternType="solid">
        <fgColor rgb="00E8F8F5"/>
      </patternFill>
    </fill>
    <fill>
      <patternFill patternType="solid">
        <fgColor rgb="00F0F3F4"/>
      </patternFill>
    </fill>
    <fill>
      <patternFill patternType="solid">
        <fgColor rgb="001A5276"/>
      </patternFill>
    </fill>
    <fill>
      <patternFill patternType="solid">
        <fgColor rgb="007B241C"/>
      </patternFill>
    </fill>
    <fill>
      <patternFill patternType="solid">
        <fgColor rgb="00922B21"/>
      </patternFill>
    </fill>
    <fill>
      <patternFill patternType="solid">
        <fgColor rgb="0076448A"/>
      </patternFill>
    </fill>
    <fill>
      <patternFill patternType="solid">
        <fgColor rgb="001E8449"/>
      </patternFill>
    </fill>
    <fill>
      <patternFill patternType="solid">
        <fgColor rgb="00784212"/>
      </patternFill>
    </fill>
    <fill>
      <patternFill patternType="solid">
        <fgColor rgb="000E6655"/>
      </patternFill>
    </fill>
    <fill>
      <patternFill patternType="solid">
        <fgColor rgb="00566573"/>
      </patternFill>
    </fill>
    <fill>
      <patternFill patternType="solid">
        <fgColor rgb="00D5F5E3"/>
      </patternFill>
    </fill>
    <fill>
      <patternFill patternType="solid">
        <fgColor rgb="00FAE5D3"/>
      </patternFill>
    </fill>
    <fill>
      <patternFill patternType="solid">
        <fgColor rgb="00FADBD8"/>
      </patternFill>
    </fill>
    <fill>
      <patternFill patternType="solid">
        <fgColor rgb="00D6EAF8"/>
      </patternFill>
    </fill>
    <fill>
      <patternFill patternType="solid">
        <fgColor rgb="00BFBFBF"/>
      </patternFill>
    </fill>
    <fill>
      <patternFill patternType="solid">
        <fgColor rgb="007D6608"/>
      </patternFill>
    </fill>
  </fills>
  <borders count="67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BFC9CA"/>
      </left>
      <right style="thin">
        <color rgb="00BFC9CA"/>
      </right>
      <top style="thin">
        <color rgb="00BFC9CA"/>
      </top>
      <bottom style="thin">
        <color rgb="00BFC9CA"/>
      </bottom>
    </border>
    <border>
      <left style="medium">
        <color rgb="007D3C98"/>
      </left>
      <right style="medium">
        <color rgb="007D3C98"/>
      </right>
      <top style="medium">
        <color rgb="007D3C98"/>
      </top>
      <bottom style="medium">
        <color rgb="007D3C98"/>
      </bottom>
    </border>
    <border>
      <left/>
      <right/>
      <top style="medium">
        <color rgb="007D3C98"/>
      </top>
      <bottom/>
      <diagonal/>
    </border>
    <border>
      <left/>
      <right style="medium">
        <color rgb="007D3C98"/>
      </right>
      <top style="medium">
        <color rgb="007D3C98"/>
      </top>
      <bottom/>
      <diagonal/>
    </border>
    <border>
      <left/>
      <right/>
      <top style="medium">
        <color rgb="007D3C98"/>
      </top>
      <bottom style="medium">
        <color rgb="007D3C98"/>
      </bottom>
      <diagonal/>
    </border>
    <border>
      <left/>
      <right style="medium">
        <color rgb="007D3C98"/>
      </right>
      <top style="medium">
        <color rgb="007D3C98"/>
      </top>
      <bottom style="medium">
        <color rgb="007D3C98"/>
      </bottom>
      <diagonal/>
    </border>
    <border>
      <left style="medium">
        <color rgb="001A5276"/>
      </left>
      <right style="medium">
        <color rgb="001A5276"/>
      </right>
      <top style="medium">
        <color rgb="001A5276"/>
      </top>
      <bottom style="medium">
        <color rgb="001A5276"/>
      </bottom>
    </border>
    <border>
      <left/>
      <right/>
      <top style="medium">
        <color rgb="001A5276"/>
      </top>
      <bottom/>
      <diagonal/>
    </border>
    <border>
      <left/>
      <right style="medium">
        <color rgb="001A5276"/>
      </right>
      <top style="medium">
        <color rgb="001A5276"/>
      </top>
      <bottom/>
      <diagonal/>
    </border>
    <border>
      <left/>
      <right/>
      <top style="medium">
        <color rgb="001A5276"/>
      </top>
      <bottom style="medium">
        <color rgb="001A5276"/>
      </bottom>
      <diagonal/>
    </border>
    <border>
      <left/>
      <right style="medium">
        <color rgb="001A5276"/>
      </right>
      <top style="medium">
        <color rgb="001A5276"/>
      </top>
      <bottom style="medium">
        <color rgb="001A5276"/>
      </bottom>
      <diagonal/>
    </border>
    <border>
      <left/>
      <right/>
      <top style="thin">
        <color rgb="00BFC9CA"/>
      </top>
      <bottom/>
      <diagonal/>
    </border>
    <border>
      <left/>
      <right style="thin">
        <color rgb="00BFC9CA"/>
      </right>
      <top style="thin">
        <color rgb="00BFC9CA"/>
      </top>
      <bottom/>
      <diagonal/>
    </border>
    <border>
      <left/>
      <right/>
      <top style="thin">
        <color rgb="00BFC9CA"/>
      </top>
      <bottom style="thin">
        <color rgb="00BFC9CA"/>
      </bottom>
      <diagonal/>
    </border>
    <border>
      <left/>
      <right style="thin">
        <color rgb="00BFC9CA"/>
      </right>
      <top style="thin">
        <color rgb="00BFC9CA"/>
      </top>
      <bottom style="thin">
        <color rgb="00BFC9CA"/>
      </bottom>
      <diagonal/>
    </border>
    <border>
      <left style="medium">
        <color rgb="007B241C"/>
      </left>
      <right style="medium">
        <color rgb="007B241C"/>
      </right>
      <top style="medium">
        <color rgb="007B241C"/>
      </top>
      <bottom style="medium">
        <color rgb="007B241C"/>
      </bottom>
    </border>
    <border>
      <left/>
      <right/>
      <top style="medium">
        <color rgb="007B241C"/>
      </top>
      <bottom/>
      <diagonal/>
    </border>
    <border>
      <left/>
      <right style="medium">
        <color rgb="007B241C"/>
      </right>
      <top style="medium">
        <color rgb="007B241C"/>
      </top>
      <bottom/>
      <diagonal/>
    </border>
    <border>
      <left/>
      <right/>
      <top style="medium">
        <color rgb="007B241C"/>
      </top>
      <bottom style="medium">
        <color rgb="007B241C"/>
      </bottom>
      <diagonal/>
    </border>
    <border>
      <left/>
      <right style="medium">
        <color rgb="007B241C"/>
      </right>
      <top style="medium">
        <color rgb="007B241C"/>
      </top>
      <bottom style="medium">
        <color rgb="007B241C"/>
      </bottom>
      <diagonal/>
    </border>
    <border>
      <left style="medium">
        <color rgb="00922B21"/>
      </left>
      <right style="medium">
        <color rgb="00922B21"/>
      </right>
      <top style="medium">
        <color rgb="00922B21"/>
      </top>
      <bottom style="medium">
        <color rgb="00922B21"/>
      </bottom>
    </border>
    <border>
      <left/>
      <right/>
      <top style="medium">
        <color rgb="00922B21"/>
      </top>
      <bottom/>
      <diagonal/>
    </border>
    <border>
      <left/>
      <right style="medium">
        <color rgb="00922B21"/>
      </right>
      <top style="medium">
        <color rgb="00922B21"/>
      </top>
      <bottom/>
      <diagonal/>
    </border>
    <border>
      <left/>
      <right/>
      <top style="medium">
        <color rgb="00922B21"/>
      </top>
      <bottom style="medium">
        <color rgb="00922B21"/>
      </bottom>
      <diagonal/>
    </border>
    <border>
      <left/>
      <right style="medium">
        <color rgb="00922B21"/>
      </right>
      <top style="medium">
        <color rgb="00922B21"/>
      </top>
      <bottom style="medium">
        <color rgb="00922B21"/>
      </bottom>
      <diagonal/>
    </border>
    <border>
      <left style="medium">
        <color rgb="0076448A"/>
      </left>
      <right style="medium">
        <color rgb="0076448A"/>
      </right>
      <top style="medium">
        <color rgb="0076448A"/>
      </top>
      <bottom style="medium">
        <color rgb="0076448A"/>
      </bottom>
    </border>
    <border>
      <left/>
      <right/>
      <top style="medium">
        <color rgb="0076448A"/>
      </top>
      <bottom/>
      <diagonal/>
    </border>
    <border>
      <left/>
      <right style="medium">
        <color rgb="0076448A"/>
      </right>
      <top style="medium">
        <color rgb="0076448A"/>
      </top>
      <bottom/>
      <diagonal/>
    </border>
    <border>
      <left/>
      <right/>
      <top style="medium">
        <color rgb="0076448A"/>
      </top>
      <bottom style="medium">
        <color rgb="0076448A"/>
      </bottom>
      <diagonal/>
    </border>
    <border>
      <left/>
      <right style="medium">
        <color rgb="0076448A"/>
      </right>
      <top style="medium">
        <color rgb="0076448A"/>
      </top>
      <bottom style="medium">
        <color rgb="0076448A"/>
      </bottom>
      <diagonal/>
    </border>
    <border>
      <left style="medium">
        <color rgb="001E8449"/>
      </left>
      <right style="medium">
        <color rgb="001E8449"/>
      </right>
      <top style="medium">
        <color rgb="001E8449"/>
      </top>
      <bottom style="medium">
        <color rgb="001E8449"/>
      </bottom>
    </border>
    <border>
      <left/>
      <right/>
      <top style="medium">
        <color rgb="001E8449"/>
      </top>
      <bottom/>
      <diagonal/>
    </border>
    <border>
      <left/>
      <right style="medium">
        <color rgb="001E8449"/>
      </right>
      <top style="medium">
        <color rgb="001E8449"/>
      </top>
      <bottom/>
      <diagonal/>
    </border>
    <border>
      <left/>
      <right/>
      <top style="medium">
        <color rgb="001E8449"/>
      </top>
      <bottom style="medium">
        <color rgb="001E8449"/>
      </bottom>
      <diagonal/>
    </border>
    <border>
      <left/>
      <right style="medium">
        <color rgb="001E8449"/>
      </right>
      <top style="medium">
        <color rgb="001E8449"/>
      </top>
      <bottom style="medium">
        <color rgb="001E8449"/>
      </bottom>
      <diagonal/>
    </border>
    <border>
      <left style="medium">
        <color rgb="00784212"/>
      </left>
      <right style="medium">
        <color rgb="00784212"/>
      </right>
      <top style="medium">
        <color rgb="00784212"/>
      </top>
      <bottom style="medium">
        <color rgb="00784212"/>
      </bottom>
    </border>
    <border>
      <left/>
      <right/>
      <top style="medium">
        <color rgb="00784212"/>
      </top>
      <bottom/>
      <diagonal/>
    </border>
    <border>
      <left/>
      <right style="medium">
        <color rgb="00784212"/>
      </right>
      <top style="medium">
        <color rgb="00784212"/>
      </top>
      <bottom/>
      <diagonal/>
    </border>
    <border>
      <left/>
      <right/>
      <top style="medium">
        <color rgb="00784212"/>
      </top>
      <bottom style="medium">
        <color rgb="00784212"/>
      </bottom>
      <diagonal/>
    </border>
    <border>
      <left/>
      <right style="medium">
        <color rgb="00784212"/>
      </right>
      <top style="medium">
        <color rgb="00784212"/>
      </top>
      <bottom style="medium">
        <color rgb="00784212"/>
      </bottom>
      <diagonal/>
    </border>
    <border>
      <left style="medium">
        <color rgb="000E6655"/>
      </left>
      <right style="medium">
        <color rgb="000E6655"/>
      </right>
      <top style="medium">
        <color rgb="000E6655"/>
      </top>
      <bottom style="medium">
        <color rgb="000E6655"/>
      </bottom>
    </border>
    <border>
      <left/>
      <right/>
      <top style="medium">
        <color rgb="000E6655"/>
      </top>
      <bottom/>
      <diagonal/>
    </border>
    <border>
      <left/>
      <right style="medium">
        <color rgb="000E6655"/>
      </right>
      <top style="medium">
        <color rgb="000E6655"/>
      </top>
      <bottom/>
      <diagonal/>
    </border>
    <border>
      <left/>
      <right/>
      <top style="medium">
        <color rgb="000E6655"/>
      </top>
      <bottom style="medium">
        <color rgb="000E6655"/>
      </bottom>
      <diagonal/>
    </border>
    <border>
      <left/>
      <right style="medium">
        <color rgb="000E6655"/>
      </right>
      <top style="medium">
        <color rgb="000E6655"/>
      </top>
      <bottom style="medium">
        <color rgb="000E6655"/>
      </bottom>
      <diagonal/>
    </border>
    <border>
      <left style="medium">
        <color rgb="00566573"/>
      </left>
      <right style="medium">
        <color rgb="00566573"/>
      </right>
      <top style="medium">
        <color rgb="00566573"/>
      </top>
      <bottom style="medium">
        <color rgb="00566573"/>
      </bottom>
    </border>
    <border>
      <left/>
      <right/>
      <top style="medium">
        <color rgb="00566573"/>
      </top>
      <bottom/>
      <diagonal/>
    </border>
    <border>
      <left/>
      <right style="medium">
        <color rgb="00566573"/>
      </right>
      <top style="medium">
        <color rgb="00566573"/>
      </top>
      <bottom/>
      <diagonal/>
    </border>
    <border>
      <left/>
      <right/>
      <top style="medium">
        <color rgb="00566573"/>
      </top>
      <bottom style="medium">
        <color rgb="00566573"/>
      </bottom>
      <diagonal/>
    </border>
    <border>
      <left/>
      <right style="medium">
        <color rgb="00566573"/>
      </right>
      <top style="medium">
        <color rgb="00566573"/>
      </top>
      <bottom style="medium">
        <color rgb="00566573"/>
      </bottom>
      <diagonal/>
    </border>
    <border>
      <left style="medium">
        <color rgb="00BFBFBF"/>
      </left>
      <right style="medium">
        <color rgb="00BFBFBF"/>
      </right>
      <top style="medium">
        <color rgb="00BFBFBF"/>
      </top>
      <bottom style="medium">
        <color rgb="00BFBFBF"/>
      </bottom>
    </border>
    <border>
      <left/>
      <right/>
      <top style="medium">
        <color rgb="00BFBFBF"/>
      </top>
      <bottom/>
      <diagonal/>
    </border>
    <border>
      <left/>
      <right style="medium">
        <color rgb="00BFBFBF"/>
      </right>
      <top style="medium">
        <color rgb="00BFBFBF"/>
      </top>
      <bottom/>
      <diagonal/>
    </border>
    <border>
      <left/>
      <right/>
      <top style="medium">
        <color rgb="00BFBFBF"/>
      </top>
      <bottom style="medium">
        <color rgb="00BFBFBF"/>
      </bottom>
      <diagonal/>
    </border>
    <border>
      <left/>
      <right style="medium">
        <color rgb="00BFBFBF"/>
      </right>
      <top style="medium">
        <color rgb="00BFBFBF"/>
      </top>
      <bottom style="medium">
        <color rgb="00BFBFBF"/>
      </bottom>
      <diagonal/>
    </border>
    <border>
      <left style="medium">
        <color rgb="007D6608"/>
      </left>
      <right style="medium">
        <color rgb="007D6608"/>
      </right>
      <top style="medium">
        <color rgb="007D6608"/>
      </top>
      <bottom style="medium">
        <color rgb="007D6608"/>
      </bottom>
    </border>
    <border>
      <left/>
      <right/>
      <top style="medium">
        <color rgb="007D6608"/>
      </top>
      <bottom/>
      <diagonal/>
    </border>
    <border>
      <left/>
      <right style="medium">
        <color rgb="007D6608"/>
      </right>
      <top style="medium">
        <color rgb="007D6608"/>
      </top>
      <bottom/>
      <diagonal/>
    </border>
    <border>
      <left/>
      <right/>
      <top style="medium">
        <color rgb="007D6608"/>
      </top>
      <bottom style="medium">
        <color rgb="007D6608"/>
      </bottom>
      <diagonal/>
    </border>
    <border>
      <left/>
      <right style="medium">
        <color rgb="007D6608"/>
      </right>
      <top style="medium">
        <color rgb="007D6608"/>
      </top>
      <bottom style="medium">
        <color rgb="007D6608"/>
      </bottom>
      <diagonal/>
    </border>
    <border>
      <left style="medium">
        <color rgb="004A235A"/>
      </left>
      <right style="medium">
        <color rgb="004A235A"/>
      </right>
      <top style="medium">
        <color rgb="004A235A"/>
      </top>
      <bottom style="medium">
        <color rgb="004A235A"/>
      </bottom>
    </border>
  </borders>
  <cellStyleXfs count="1">
    <xf numFmtId="0" fontId="0" fillId="0" borderId="0"/>
  </cellStyleXfs>
  <cellXfs count="20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3" borderId="6" applyAlignment="1" pivotButton="0" quotePrefix="0" xfId="0">
      <alignment horizontal="left" vertical="center"/>
    </xf>
    <xf numFmtId="0" fontId="6" fillId="3" borderId="6" applyAlignment="1" pivotButton="0" quotePrefix="0" xfId="0">
      <alignment horizontal="left" vertical="center"/>
    </xf>
    <xf numFmtId="0" fontId="5" fillId="4" borderId="6" applyAlignment="1" pivotButton="0" quotePrefix="0" xfId="0">
      <alignment horizontal="left" vertical="center"/>
    </xf>
    <xf numFmtId="0" fontId="6" fillId="4" borderId="6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7" fillId="6" borderId="6" applyAlignment="1" pivotButton="0" quotePrefix="0" xfId="0">
      <alignment horizontal="center" vertical="center"/>
    </xf>
    <xf numFmtId="0" fontId="8" fillId="6" borderId="6" applyAlignment="1" pivotButton="0" quotePrefix="0" xfId="0">
      <alignment horizontal="left" vertical="center"/>
    </xf>
    <xf numFmtId="0" fontId="9" fillId="6" borderId="6" applyAlignment="1" pivotButton="0" quotePrefix="0" xfId="0">
      <alignment horizontal="left" vertical="center"/>
    </xf>
    <xf numFmtId="0" fontId="6" fillId="6" borderId="6" applyAlignment="1" pivotButton="0" quotePrefix="0" xfId="0">
      <alignment horizontal="left" vertical="center"/>
    </xf>
    <xf numFmtId="0" fontId="7" fillId="4" borderId="6" applyAlignment="1" pivotButton="0" quotePrefix="0" xfId="0">
      <alignment horizontal="center" vertical="center"/>
    </xf>
    <xf numFmtId="0" fontId="8" fillId="4" borderId="6" applyAlignment="1" pivotButton="0" quotePrefix="0" xfId="0">
      <alignment horizontal="left" vertical="center"/>
    </xf>
    <xf numFmtId="0" fontId="9" fillId="4" borderId="6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5" borderId="7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5" fillId="7" borderId="6" applyAlignment="1" pivotButton="0" quotePrefix="0" xfId="0">
      <alignment horizontal="left" vertical="center"/>
    </xf>
    <xf numFmtId="0" fontId="12" fillId="8" borderId="6" applyAlignment="1" pivotButton="0" quotePrefix="0" xfId="0">
      <alignment horizontal="left" vertical="center"/>
    </xf>
    <xf numFmtId="0" fontId="6" fillId="4" borderId="6" applyAlignment="1" pivotButton="0" quotePrefix="0" xfId="0">
      <alignment horizontal="center" vertical="center"/>
    </xf>
    <xf numFmtId="0" fontId="13" fillId="9" borderId="6" applyAlignment="1" pivotButton="0" quotePrefix="0" xfId="0">
      <alignment horizontal="left" vertical="center"/>
    </xf>
    <xf numFmtId="0" fontId="14" fillId="3" borderId="6" applyAlignment="1" pivotButton="0" quotePrefix="0" xfId="0">
      <alignment horizontal="left" vertical="center"/>
    </xf>
    <xf numFmtId="0" fontId="15" fillId="10" borderId="6" applyAlignment="1" pivotButton="0" quotePrefix="0" xfId="0">
      <alignment horizontal="left" vertical="center"/>
    </xf>
    <xf numFmtId="0" fontId="16" fillId="11" borderId="6" applyAlignment="1" pivotButton="0" quotePrefix="0" xfId="0">
      <alignment horizontal="left" vertical="center"/>
    </xf>
    <xf numFmtId="0" fontId="17" fillId="8" borderId="6" applyAlignment="1" pivotButton="0" quotePrefix="0" xfId="0">
      <alignment horizontal="left" vertical="center"/>
    </xf>
    <xf numFmtId="0" fontId="18" fillId="12" borderId="6" applyAlignment="1" pivotButton="0" quotePrefix="0" xfId="0">
      <alignment horizontal="left" vertical="center"/>
    </xf>
    <xf numFmtId="0" fontId="19" fillId="13" borderId="6" applyAlignment="1" pivotButton="0" quotePrefix="0" xfId="0">
      <alignment horizontal="left" vertical="center"/>
    </xf>
    <xf numFmtId="0" fontId="0" fillId="4" borderId="6" applyAlignment="1" pivotButton="0" quotePrefix="0" xfId="0">
      <alignment vertical="top" wrapText="1"/>
    </xf>
    <xf numFmtId="0" fontId="11" fillId="14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20" fillId="6" borderId="6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2" fillId="2" borderId="1" applyAlignment="1" pivotButton="0" quotePrefix="0" xfId="0">
      <alignment horizontal="center" vertical="center"/>
    </xf>
    <xf numFmtId="0" fontId="23" fillId="7" borderId="6" applyAlignment="1" pivotButton="0" quotePrefix="0" xfId="0">
      <alignment horizontal="center" vertical="center"/>
    </xf>
    <xf numFmtId="0" fontId="24" fillId="3" borderId="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4" fillId="15" borderId="21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5" pivotButton="0" quotePrefix="0" xfId="0"/>
    <xf numFmtId="0" fontId="25" fillId="8" borderId="6" applyAlignment="1" pivotButton="0" quotePrefix="0" xfId="0">
      <alignment horizontal="left" vertical="center"/>
    </xf>
    <xf numFmtId="0" fontId="26" fillId="8" borderId="6" applyAlignment="1" pivotButton="0" quotePrefix="0" xfId="0">
      <alignment horizontal="left" vertical="center"/>
    </xf>
    <xf numFmtId="0" fontId="27" fillId="8" borderId="6" applyAlignment="1" pivotButton="0" quotePrefix="0" xfId="0">
      <alignment horizontal="left" vertical="center" wrapText="1"/>
    </xf>
    <xf numFmtId="0" fontId="25" fillId="4" borderId="6" applyAlignment="1" pivotButton="0" quotePrefix="0" xfId="0">
      <alignment horizontal="left" vertical="center"/>
    </xf>
    <xf numFmtId="0" fontId="27" fillId="4" borderId="6" applyAlignment="1" pivotButton="0" quotePrefix="0" xfId="0">
      <alignment horizontal="left" vertical="center" wrapText="1"/>
    </xf>
    <xf numFmtId="0" fontId="6" fillId="8" borderId="6" applyAlignment="1" pivotButton="0" quotePrefix="0" xfId="0">
      <alignment horizontal="left" vertical="center"/>
    </xf>
    <xf numFmtId="0" fontId="28" fillId="8" borderId="6" applyAlignment="1" pivotButton="0" quotePrefix="0" xfId="0">
      <alignment horizontal="center" vertical="center"/>
    </xf>
    <xf numFmtId="0" fontId="19" fillId="8" borderId="6" applyAlignment="1" pivotButton="0" quotePrefix="0" xfId="0">
      <alignment horizontal="center" vertical="center"/>
    </xf>
    <xf numFmtId="9" fontId="12" fillId="8" borderId="6" applyAlignment="1" pivotButton="0" quotePrefix="0" xfId="0">
      <alignment horizontal="center" vertical="center"/>
    </xf>
    <xf numFmtId="0" fontId="4" fillId="16" borderId="26" applyAlignment="1" pivotButton="0" quotePrefix="0" xfId="0">
      <alignment horizontal="left" vertical="center"/>
    </xf>
    <xf numFmtId="0" fontId="0" fillId="0" borderId="29" pivotButton="0" quotePrefix="0" xfId="0"/>
    <xf numFmtId="0" fontId="0" fillId="0" borderId="30" pivotButton="0" quotePrefix="0" xfId="0"/>
    <xf numFmtId="0" fontId="29" fillId="8" borderId="6" applyAlignment="1" pivotButton="0" quotePrefix="0" xfId="0">
      <alignment horizontal="left" vertical="center"/>
    </xf>
    <xf numFmtId="0" fontId="30" fillId="8" borderId="6" applyAlignment="1" pivotButton="0" quotePrefix="0" xfId="0">
      <alignment horizontal="left" vertical="center"/>
    </xf>
    <xf numFmtId="0" fontId="29" fillId="4" borderId="6" applyAlignment="1" pivotButton="0" quotePrefix="0" xfId="0">
      <alignment horizontal="left" vertical="center"/>
    </xf>
    <xf numFmtId="0" fontId="31" fillId="8" borderId="6" applyAlignment="1" pivotButton="0" quotePrefix="0" xfId="0">
      <alignment horizontal="center" vertical="center"/>
    </xf>
    <xf numFmtId="9" fontId="17" fillId="8" borderId="6" applyAlignment="1" pivotButton="0" quotePrefix="0" xfId="0">
      <alignment horizontal="center" vertical="center"/>
    </xf>
    <xf numFmtId="0" fontId="4" fillId="17" borderId="31" applyAlignment="1" pivotButton="0" quotePrefix="0" xfId="0">
      <alignment horizontal="left" vertical="center"/>
    </xf>
    <xf numFmtId="0" fontId="0" fillId="0" borderId="34" pivotButton="0" quotePrefix="0" xfId="0"/>
    <xf numFmtId="0" fontId="0" fillId="0" borderId="35" pivotButton="0" quotePrefix="0" xfId="0"/>
    <xf numFmtId="0" fontId="32" fillId="3" borderId="6" applyAlignment="1" pivotButton="0" quotePrefix="0" xfId="0">
      <alignment horizontal="left" vertical="center"/>
    </xf>
    <xf numFmtId="0" fontId="33" fillId="3" borderId="6" applyAlignment="1" pivotButton="0" quotePrefix="0" xfId="0">
      <alignment horizontal="left" vertical="center"/>
    </xf>
    <xf numFmtId="0" fontId="27" fillId="3" borderId="6" applyAlignment="1" pivotButton="0" quotePrefix="0" xfId="0">
      <alignment horizontal="left" vertical="center" wrapText="1"/>
    </xf>
    <xf numFmtId="0" fontId="32" fillId="4" borderId="6" applyAlignment="1" pivotButton="0" quotePrefix="0" xfId="0">
      <alignment horizontal="left" vertical="center"/>
    </xf>
    <xf numFmtId="0" fontId="34" fillId="3" borderId="6" applyAlignment="1" pivotButton="0" quotePrefix="0" xfId="0">
      <alignment horizontal="center" vertical="center"/>
    </xf>
    <xf numFmtId="0" fontId="19" fillId="3" borderId="6" applyAlignment="1" pivotButton="0" quotePrefix="0" xfId="0">
      <alignment horizontal="center" vertical="center"/>
    </xf>
    <xf numFmtId="9" fontId="14" fillId="3" borderId="6" applyAlignment="1" pivotButton="0" quotePrefix="0" xfId="0">
      <alignment horizontal="center" vertical="center"/>
    </xf>
    <xf numFmtId="0" fontId="4" fillId="18" borderId="36" applyAlignment="1" pivotButton="0" quotePrefix="0" xfId="0">
      <alignment horizontal="left" vertical="center"/>
    </xf>
    <xf numFmtId="0" fontId="0" fillId="0" borderId="39" pivotButton="0" quotePrefix="0" xfId="0"/>
    <xf numFmtId="0" fontId="0" fillId="0" borderId="40" pivotButton="0" quotePrefix="0" xfId="0"/>
    <xf numFmtId="0" fontId="35" fillId="11" borderId="6" applyAlignment="1" pivotButton="0" quotePrefix="0" xfId="0">
      <alignment horizontal="left" vertical="center"/>
    </xf>
    <xf numFmtId="0" fontId="36" fillId="11" borderId="6" applyAlignment="1" pivotButton="0" quotePrefix="0" xfId="0">
      <alignment horizontal="left" vertical="center"/>
    </xf>
    <xf numFmtId="0" fontId="27" fillId="11" borderId="6" applyAlignment="1" pivotButton="0" quotePrefix="0" xfId="0">
      <alignment horizontal="left" vertical="center" wrapText="1"/>
    </xf>
    <xf numFmtId="0" fontId="35" fillId="4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0" fontId="37" fillId="11" borderId="6" applyAlignment="1" pivotButton="0" quotePrefix="0" xfId="0">
      <alignment horizontal="center" vertical="center"/>
    </xf>
    <xf numFmtId="0" fontId="19" fillId="11" borderId="6" applyAlignment="1" pivotButton="0" quotePrefix="0" xfId="0">
      <alignment horizontal="center" vertical="center"/>
    </xf>
    <xf numFmtId="9" fontId="16" fillId="11" borderId="6" applyAlignment="1" pivotButton="0" quotePrefix="0" xfId="0">
      <alignment horizontal="center" vertical="center"/>
    </xf>
    <xf numFmtId="0" fontId="4" fillId="19" borderId="41" applyAlignment="1" pivotButton="0" quotePrefix="0" xfId="0">
      <alignment horizontal="left" vertical="center"/>
    </xf>
    <xf numFmtId="0" fontId="0" fillId="0" borderId="44" pivotButton="0" quotePrefix="0" xfId="0"/>
    <xf numFmtId="0" fontId="0" fillId="0" borderId="45" pivotButton="0" quotePrefix="0" xfId="0"/>
    <xf numFmtId="0" fontId="38" fillId="9" borderId="6" applyAlignment="1" pivotButton="0" quotePrefix="0" xfId="0">
      <alignment horizontal="left" vertical="center"/>
    </xf>
    <xf numFmtId="0" fontId="39" fillId="9" borderId="6" applyAlignment="1" pivotButton="0" quotePrefix="0" xfId="0">
      <alignment horizontal="left" vertical="center"/>
    </xf>
    <xf numFmtId="0" fontId="27" fillId="9" borderId="6" applyAlignment="1" pivotButton="0" quotePrefix="0" xfId="0">
      <alignment horizontal="left" vertical="center" wrapText="1"/>
    </xf>
    <xf numFmtId="0" fontId="38" fillId="4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/>
    </xf>
    <xf numFmtId="0" fontId="40" fillId="9" borderId="6" applyAlignment="1" pivotButton="0" quotePrefix="0" xfId="0">
      <alignment horizontal="center" vertical="center"/>
    </xf>
    <xf numFmtId="0" fontId="19" fillId="9" borderId="6" applyAlignment="1" pivotButton="0" quotePrefix="0" xfId="0">
      <alignment horizontal="center" vertical="center"/>
    </xf>
    <xf numFmtId="9" fontId="13" fillId="9" borderId="6" applyAlignment="1" pivotButton="0" quotePrefix="0" xfId="0">
      <alignment horizontal="center" vertical="center"/>
    </xf>
    <xf numFmtId="0" fontId="4" fillId="14" borderId="12" applyAlignment="1" pivotButton="0" quotePrefix="0" xfId="0">
      <alignment horizontal="left" vertical="center"/>
    </xf>
    <xf numFmtId="0" fontId="41" fillId="10" borderId="6" applyAlignment="1" pivotButton="0" quotePrefix="0" xfId="0">
      <alignment horizontal="left" vertical="center"/>
    </xf>
    <xf numFmtId="0" fontId="21" fillId="10" borderId="6" applyAlignment="1" pivotButton="0" quotePrefix="0" xfId="0">
      <alignment horizontal="left" vertical="center"/>
    </xf>
    <xf numFmtId="0" fontId="27" fillId="10" borderId="6" applyAlignment="1" pivotButton="0" quotePrefix="0" xfId="0">
      <alignment horizontal="left" vertical="center" wrapText="1"/>
    </xf>
    <xf numFmtId="0" fontId="41" fillId="4" borderId="6" applyAlignment="1" pivotButton="0" quotePrefix="0" xfId="0">
      <alignment horizontal="left" vertical="center"/>
    </xf>
    <xf numFmtId="0" fontId="6" fillId="10" borderId="6" applyAlignment="1" pivotButton="0" quotePrefix="0" xfId="0">
      <alignment horizontal="left" vertical="center"/>
    </xf>
    <xf numFmtId="0" fontId="42" fillId="10" borderId="6" applyAlignment="1" pivotButton="0" quotePrefix="0" xfId="0">
      <alignment horizontal="center" vertical="center"/>
    </xf>
    <xf numFmtId="0" fontId="19" fillId="10" borderId="6" applyAlignment="1" pivotButton="0" quotePrefix="0" xfId="0">
      <alignment horizontal="center" vertical="center"/>
    </xf>
    <xf numFmtId="9" fontId="15" fillId="10" borderId="6" applyAlignment="1" pivotButton="0" quotePrefix="0" xfId="0">
      <alignment horizontal="center" vertical="center"/>
    </xf>
    <xf numFmtId="0" fontId="4" fillId="20" borderId="46" applyAlignment="1" pivotButton="0" quotePrefix="0" xfId="0">
      <alignment horizontal="left" vertical="center"/>
    </xf>
    <xf numFmtId="0" fontId="0" fillId="0" borderId="49" pivotButton="0" quotePrefix="0" xfId="0"/>
    <xf numFmtId="0" fontId="0" fillId="0" borderId="50" pivotButton="0" quotePrefix="0" xfId="0"/>
    <xf numFmtId="0" fontId="43" fillId="12" borderId="6" applyAlignment="1" pivotButton="0" quotePrefix="0" xfId="0">
      <alignment horizontal="left" vertical="center"/>
    </xf>
    <xf numFmtId="0" fontId="44" fillId="12" borderId="6" applyAlignment="1" pivotButton="0" quotePrefix="0" xfId="0">
      <alignment horizontal="left" vertical="center"/>
    </xf>
    <xf numFmtId="0" fontId="27" fillId="12" borderId="6" applyAlignment="1" pivotButton="0" quotePrefix="0" xfId="0">
      <alignment horizontal="left" vertical="center" wrapText="1"/>
    </xf>
    <xf numFmtId="0" fontId="43" fillId="4" borderId="6" applyAlignment="1" pivotButton="0" quotePrefix="0" xfId="0">
      <alignment horizontal="left" vertical="center"/>
    </xf>
    <xf numFmtId="0" fontId="6" fillId="12" borderId="6" applyAlignment="1" pivotButton="0" quotePrefix="0" xfId="0">
      <alignment horizontal="left" vertical="center"/>
    </xf>
    <xf numFmtId="0" fontId="45" fillId="12" borderId="6" applyAlignment="1" pivotButton="0" quotePrefix="0" xfId="0">
      <alignment horizontal="center" vertical="center"/>
    </xf>
    <xf numFmtId="0" fontId="19" fillId="12" borderId="6" applyAlignment="1" pivotButton="0" quotePrefix="0" xfId="0">
      <alignment horizontal="center" vertical="center"/>
    </xf>
    <xf numFmtId="9" fontId="18" fillId="12" borderId="6" applyAlignment="1" pivotButton="0" quotePrefix="0" xfId="0">
      <alignment horizontal="center" vertical="center"/>
    </xf>
    <xf numFmtId="0" fontId="4" fillId="21" borderId="51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23" fillId="13" borderId="6" applyAlignment="1" pivotButton="0" quotePrefix="0" xfId="0">
      <alignment horizontal="left" vertical="center"/>
    </xf>
    <xf numFmtId="0" fontId="46" fillId="13" borderId="6" applyAlignment="1" pivotButton="0" quotePrefix="0" xfId="0">
      <alignment horizontal="left" vertical="center"/>
    </xf>
    <xf numFmtId="0" fontId="27" fillId="13" borderId="6" applyAlignment="1" pivotButton="0" quotePrefix="0" xfId="0">
      <alignment horizontal="left" vertical="center" wrapText="1"/>
    </xf>
    <xf numFmtId="0" fontId="23" fillId="4" borderId="6" applyAlignment="1" pivotButton="0" quotePrefix="0" xfId="0">
      <alignment horizontal="left" vertical="center"/>
    </xf>
    <xf numFmtId="0" fontId="6" fillId="13" borderId="6" applyAlignment="1" pivotButton="0" quotePrefix="0" xfId="0">
      <alignment horizontal="left" vertical="center"/>
    </xf>
    <xf numFmtId="0" fontId="47" fillId="13" borderId="6" applyAlignment="1" pivotButton="0" quotePrefix="0" xfId="0">
      <alignment horizontal="center" vertical="center"/>
    </xf>
    <xf numFmtId="0" fontId="19" fillId="13" borderId="6" applyAlignment="1" pivotButton="0" quotePrefix="0" xfId="0">
      <alignment horizontal="center" vertical="center"/>
    </xf>
    <xf numFmtId="9" fontId="19" fillId="13" borderId="6" applyAlignment="1" pivotButton="0" quotePrefix="0" xfId="0">
      <alignment horizontal="center" vertical="center"/>
    </xf>
    <xf numFmtId="0" fontId="24" fillId="3" borderId="0" applyAlignment="1" pivotButton="0" quotePrefix="0" xfId="0">
      <alignment horizontal="left" vertical="center"/>
    </xf>
    <xf numFmtId="0" fontId="16" fillId="22" borderId="6" applyAlignment="1" pivotButton="0" quotePrefix="0" xfId="0">
      <alignment horizontal="left" vertical="center"/>
    </xf>
    <xf numFmtId="0" fontId="48" fillId="22" borderId="6" applyAlignment="1" pivotButton="0" quotePrefix="0" xfId="0">
      <alignment horizontal="left" vertical="center"/>
    </xf>
    <xf numFmtId="0" fontId="49" fillId="6" borderId="6" applyAlignment="1" pivotButton="0" quotePrefix="0" xfId="0">
      <alignment horizontal="left" vertical="center"/>
    </xf>
    <xf numFmtId="0" fontId="50" fillId="23" borderId="6" applyAlignment="1" pivotButton="0" quotePrefix="0" xfId="0">
      <alignment horizontal="left" vertical="center"/>
    </xf>
    <xf numFmtId="0" fontId="51" fillId="23" borderId="6" applyAlignment="1" pivotButton="0" quotePrefix="0" xfId="0">
      <alignment horizontal="left" vertical="center"/>
    </xf>
    <xf numFmtId="0" fontId="17" fillId="24" borderId="6" applyAlignment="1" pivotButton="0" quotePrefix="0" xfId="0">
      <alignment horizontal="left" vertical="center"/>
    </xf>
    <xf numFmtId="0" fontId="52" fillId="24" borderId="6" applyAlignment="1" pivotButton="0" quotePrefix="0" xfId="0">
      <alignment horizontal="left" vertical="center"/>
    </xf>
    <xf numFmtId="0" fontId="8" fillId="3" borderId="6" applyAlignment="1" pivotButton="0" quotePrefix="0" xfId="0">
      <alignment horizontal="left" vertical="center"/>
    </xf>
    <xf numFmtId="0" fontId="53" fillId="4" borderId="6" applyAlignment="1" pivotButton="0" quotePrefix="0" xfId="0">
      <alignment horizontal="center" vertical="center"/>
    </xf>
    <xf numFmtId="0" fontId="54" fillId="4" borderId="6" applyAlignment="1" pivotButton="0" quotePrefix="0" xfId="0">
      <alignment horizontal="center" vertical="center"/>
    </xf>
    <xf numFmtId="9" fontId="53" fillId="4" borderId="6" applyAlignment="1" pivotButton="0" quotePrefix="0" xfId="0">
      <alignment horizontal="center" vertical="center"/>
    </xf>
    <xf numFmtId="0" fontId="8" fillId="24" borderId="6" applyAlignment="1" pivotButton="0" quotePrefix="0" xfId="0">
      <alignment horizontal="left" vertical="center"/>
    </xf>
    <xf numFmtId="0" fontId="6" fillId="24" borderId="6" applyAlignment="1" pivotButton="0" quotePrefix="0" xfId="0">
      <alignment horizontal="left" vertical="center"/>
    </xf>
    <xf numFmtId="0" fontId="8" fillId="22" borderId="6" applyAlignment="1" pivotButton="0" quotePrefix="0" xfId="0">
      <alignment horizontal="left" vertical="center"/>
    </xf>
    <xf numFmtId="0" fontId="6" fillId="22" borderId="6" applyAlignment="1" pivotButton="0" quotePrefix="0" xfId="0">
      <alignment horizontal="left" vertical="center"/>
    </xf>
    <xf numFmtId="0" fontId="8" fillId="25" borderId="6" applyAlignment="1" pivotButton="0" quotePrefix="0" xfId="0">
      <alignment horizontal="left" vertical="center"/>
    </xf>
    <xf numFmtId="0" fontId="6" fillId="25" borderId="6" applyAlignment="1" pivotButton="0" quotePrefix="0" xfId="0">
      <alignment horizontal="left" vertical="center"/>
    </xf>
    <xf numFmtId="0" fontId="8" fillId="12" borderId="6" applyAlignment="1" pivotButton="0" quotePrefix="0" xfId="0">
      <alignment horizontal="left" vertical="center"/>
    </xf>
    <xf numFmtId="0" fontId="8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0" fontId="55" fillId="25" borderId="6" applyAlignment="1" pivotButton="0" quotePrefix="0" xfId="0">
      <alignment horizontal="left" vertical="center"/>
    </xf>
    <xf numFmtId="0" fontId="29" fillId="24" borderId="6" applyAlignment="1" pivotButton="0" quotePrefix="0" xfId="0">
      <alignment horizontal="center" vertical="center"/>
    </xf>
    <xf numFmtId="0" fontId="56" fillId="24" borderId="6" applyAlignment="1" pivotButton="0" quotePrefix="0" xfId="0">
      <alignment horizontal="left" vertical="center"/>
    </xf>
    <xf numFmtId="0" fontId="57" fillId="3" borderId="6" applyAlignment="1" pivotButton="0" quotePrefix="0" xfId="0">
      <alignment horizontal="left" vertical="center" wrapText="1"/>
    </xf>
    <xf numFmtId="0" fontId="58" fillId="25" borderId="6" applyAlignment="1" pivotButton="0" quotePrefix="0" xfId="0">
      <alignment horizontal="left" vertical="center" wrapText="1"/>
    </xf>
    <xf numFmtId="0" fontId="27" fillId="4" borderId="6" applyAlignment="1" pivotButton="0" quotePrefix="0" xfId="0">
      <alignment horizontal="center" vertical="center"/>
    </xf>
    <xf numFmtId="0" fontId="59" fillId="23" borderId="6" applyAlignment="1" pivotButton="0" quotePrefix="0" xfId="0">
      <alignment horizontal="center" vertical="center"/>
    </xf>
    <xf numFmtId="0" fontId="56" fillId="23" borderId="6" applyAlignment="1" pivotButton="0" quotePrefix="0" xfId="0">
      <alignment horizontal="left" vertical="center"/>
    </xf>
    <xf numFmtId="0" fontId="60" fillId="6" borderId="6" applyAlignment="1" pivotButton="0" quotePrefix="0" xfId="0">
      <alignment horizontal="center" vertical="center"/>
    </xf>
    <xf numFmtId="0" fontId="56" fillId="6" borderId="6" applyAlignment="1" pivotButton="0" quotePrefix="0" xfId="0">
      <alignment horizontal="left" vertical="center"/>
    </xf>
    <xf numFmtId="0" fontId="35" fillId="22" borderId="6" applyAlignment="1" pivotButton="0" quotePrefix="0" xfId="0">
      <alignment horizontal="center" vertical="center"/>
    </xf>
    <xf numFmtId="0" fontId="56" fillId="22" borderId="6" applyAlignment="1" pivotButton="0" quotePrefix="0" xfId="0">
      <alignment horizontal="left" vertical="center"/>
    </xf>
    <xf numFmtId="0" fontId="11" fillId="26" borderId="56" applyAlignment="1" pivotButton="0" quotePrefix="0" xfId="0">
      <alignment horizontal="left" vertical="center"/>
    </xf>
    <xf numFmtId="0" fontId="0" fillId="0" borderId="59" pivotButton="0" quotePrefix="0" xfId="0"/>
    <xf numFmtId="0" fontId="0" fillId="0" borderId="60" pivotButton="0" quotePrefix="0" xfId="0"/>
    <xf numFmtId="0" fontId="61" fillId="7" borderId="6" applyAlignment="1" pivotButton="0" quotePrefix="0" xfId="0">
      <alignment horizontal="left" vertical="center"/>
    </xf>
    <xf numFmtId="0" fontId="62" fillId="7" borderId="6" applyAlignment="1" pivotButton="0" quotePrefix="0" xfId="0">
      <alignment horizontal="left" vertical="center"/>
    </xf>
    <xf numFmtId="0" fontId="6" fillId="4" borderId="6" applyAlignment="1" pivotButton="0" quotePrefix="0" xfId="0">
      <alignment horizontal="left" vertical="center" wrapText="1"/>
    </xf>
    <xf numFmtId="0" fontId="11" fillId="27" borderId="61" applyAlignment="1" pivotButton="0" quotePrefix="0" xfId="0">
      <alignment horizontal="left" vertical="center"/>
    </xf>
    <xf numFmtId="0" fontId="0" fillId="0" borderId="64" pivotButton="0" quotePrefix="0" xfId="0"/>
    <xf numFmtId="0" fontId="0" fillId="0" borderId="65" pivotButton="0" quotePrefix="0" xfId="0"/>
    <xf numFmtId="0" fontId="63" fillId="7" borderId="6" applyAlignment="1" pivotButton="0" quotePrefix="0" xfId="0">
      <alignment horizontal="left" vertical="center"/>
    </xf>
    <xf numFmtId="0" fontId="64" fillId="7" borderId="6" applyAlignment="1" pivotButton="0" quotePrefix="0" xfId="0">
      <alignment horizontal="left" vertical="center"/>
    </xf>
    <xf numFmtId="0" fontId="65" fillId="7" borderId="6" applyAlignment="1" pivotButton="0" quotePrefix="0" xfId="0">
      <alignment horizontal="left" vertical="center"/>
    </xf>
    <xf numFmtId="0" fontId="66" fillId="7" borderId="6" applyAlignment="1" pivotButton="0" quotePrefix="0" xfId="0">
      <alignment horizontal="left" vertical="center"/>
    </xf>
    <xf numFmtId="0" fontId="15" fillId="7" borderId="6" applyAlignment="1" pivotButton="0" quotePrefix="0" xfId="0">
      <alignment horizontal="left" vertical="center"/>
    </xf>
    <xf numFmtId="0" fontId="67" fillId="7" borderId="6" applyAlignment="1" pivotButton="0" quotePrefix="0" xfId="0">
      <alignment horizontal="left" vertical="center"/>
    </xf>
    <xf numFmtId="0" fontId="5" fillId="3" borderId="6" applyAlignment="1" pivotButton="0" quotePrefix="0" xfId="0">
      <alignment horizontal="center" vertical="center"/>
    </xf>
    <xf numFmtId="0" fontId="68" fillId="3" borderId="6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68" fillId="4" borderId="6" applyAlignment="1" pivotButton="0" quotePrefix="0" xfId="0">
      <alignment horizontal="center" vertical="center"/>
    </xf>
    <xf numFmtId="0" fontId="69" fillId="2" borderId="0" applyAlignment="1" pivotButton="0" quotePrefix="0" xfId="0">
      <alignment horizontal="center" vertical="center" wrapText="1"/>
    </xf>
    <xf numFmtId="0" fontId="70" fillId="3" borderId="0" applyAlignment="1" pivotButton="0" quotePrefix="0" xfId="0">
      <alignment horizontal="center" vertical="center"/>
    </xf>
    <xf numFmtId="0" fontId="71" fillId="3" borderId="66" applyAlignment="1" pivotButton="0" quotePrefix="0" xfId="0">
      <alignment horizontal="center" vertical="center" wrapText="1"/>
    </xf>
    <xf numFmtId="0" fontId="29" fillId="8" borderId="26" applyAlignment="1" pivotButton="0" quotePrefix="0" xfId="0">
      <alignment horizontal="center" vertical="center" wrapText="1"/>
    </xf>
    <xf numFmtId="0" fontId="32" fillId="3" borderId="31" applyAlignment="1" pivotButton="0" quotePrefix="0" xfId="0">
      <alignment horizontal="center" vertical="center" wrapText="1"/>
    </xf>
    <xf numFmtId="0" fontId="35" fillId="11" borderId="36" applyAlignment="1" pivotButton="0" quotePrefix="0" xfId="0">
      <alignment horizontal="center" vertical="center" wrapText="1"/>
    </xf>
    <xf numFmtId="0" fontId="38" fillId="9" borderId="41" applyAlignment="1" pivotButton="0" quotePrefix="0" xfId="0">
      <alignment horizontal="center" vertical="center" wrapText="1"/>
    </xf>
    <xf numFmtId="0" fontId="41" fillId="10" borderId="12" applyAlignment="1" pivotButton="0" quotePrefix="0" xfId="0">
      <alignment horizontal="center" vertical="center" wrapText="1"/>
    </xf>
    <xf numFmtId="0" fontId="43" fillId="12" borderId="46" applyAlignment="1" pivotButton="0" quotePrefix="0" xfId="0">
      <alignment horizontal="center" vertical="center" wrapText="1"/>
    </xf>
    <xf numFmtId="0" fontId="23" fillId="13" borderId="51" applyAlignment="1" pivotButton="0" quotePrefix="0" xfId="0">
      <alignment horizontal="center" vertical="center" wrapText="1"/>
    </xf>
    <xf numFmtId="0" fontId="15" fillId="25" borderId="6" applyAlignment="1" pivotButton="0" quotePrefix="0" xfId="0">
      <alignment horizontal="left" vertical="center"/>
    </xf>
    <xf numFmtId="0" fontId="6" fillId="3" borderId="6" applyAlignment="1" pivotButton="0" quotePrefix="0" xfId="0">
      <alignment horizontal="center" vertical="center"/>
    </xf>
    <xf numFmtId="0" fontId="72" fillId="3" borderId="6" applyAlignment="1" pivotButton="0" quotePrefix="0" xfId="0">
      <alignment horizontal="left" vertical="center" wrapText="1"/>
    </xf>
    <xf numFmtId="0" fontId="72" fillId="4" borderId="6" applyAlignment="1" pivotButton="0" quotePrefix="0" xfId="0">
      <alignment horizontal="left" vertical="center" wrapText="1"/>
    </xf>
    <xf numFmtId="0" fontId="73" fillId="6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left" vertical="center" wrapText="1"/>
    </xf>
    <xf numFmtId="0" fontId="74" fillId="6" borderId="6" applyAlignment="1" pivotButton="0" quotePrefix="0" xfId="0">
      <alignment horizontal="left" vertical="center"/>
    </xf>
    <xf numFmtId="0" fontId="6" fillId="6" borderId="6" applyAlignment="1" pivotButton="0" quotePrefix="0" xfId="0">
      <alignment horizontal="center" vertical="center"/>
    </xf>
    <xf numFmtId="0" fontId="48" fillId="6" borderId="6" applyAlignment="1" pivotButton="0" quotePrefix="0" xfId="0">
      <alignment horizontal="center" vertical="center"/>
    </xf>
    <xf numFmtId="0" fontId="68" fillId="6" borderId="6" applyAlignment="1" pivotButton="0" quotePrefix="0" xfId="0">
      <alignment horizontal="center" vertical="center"/>
    </xf>
    <xf numFmtId="0" fontId="46" fillId="6" borderId="6" applyAlignment="1" pivotButton="0" quotePrefix="0" xfId="0">
      <alignment horizontal="left" vertical="center" wrapText="1"/>
    </xf>
    <xf numFmtId="0" fontId="73" fillId="4" borderId="6" applyAlignment="1" pivotButton="0" quotePrefix="0" xfId="0">
      <alignment horizontal="center" vertical="center"/>
    </xf>
    <xf numFmtId="0" fontId="74" fillId="4" borderId="6" applyAlignment="1" pivotButton="0" quotePrefix="0" xfId="0">
      <alignment horizontal="left" vertical="center"/>
    </xf>
    <xf numFmtId="0" fontId="48" fillId="4" borderId="6" applyAlignment="1" pivotButton="0" quotePrefix="0" xfId="0">
      <alignment horizontal="center" vertical="center"/>
    </xf>
    <xf numFmtId="0" fontId="46" fillId="4" borderId="6" applyAlignment="1" pivotButton="0" quotePrefix="0" xfId="0">
      <alignment horizontal="left" vertical="center" wrapText="1"/>
    </xf>
    <xf numFmtId="0" fontId="75" fillId="23" borderId="0" applyAlignment="1" pivotButton="0" quotePrefix="0" xfId="0">
      <alignment horizontal="center" vertical="center"/>
    </xf>
    <xf numFmtId="0" fontId="51" fillId="23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35" customHeight="1">
      <c r="A1" s="1" t="inlineStr">
        <is>
          <t>🏡  FENG SHUI CHAPÉU PRETO — Sistema do Consultor</t>
        </is>
      </c>
    </row>
    <row r="2" ht="35" customHeight="1"/>
    <row r="3" ht="20" customHeight="1"/>
    <row r="4" ht="24" customHeight="1">
      <c r="A4" s="2" t="inlineStr">
        <is>
          <t>Ferramenta completa para diagnóstico energético, prescrição de ativações e relatório ao cliente</t>
        </is>
      </c>
    </row>
    <row r="6" ht="26" customHeight="1">
      <c r="A6" s="3" t="inlineStr">
        <is>
          <t>COMO USAR ESTA PLANILHA</t>
        </is>
      </c>
    </row>
    <row r="7" ht="22" customHeight="1">
      <c r="A7" s="4" t="inlineStr">
        <is>
          <t>Aba</t>
        </is>
      </c>
      <c r="B7" s="4" t="inlineStr">
        <is>
          <t>O que fazer aqui</t>
        </is>
      </c>
      <c r="C7" s="5" t="n"/>
      <c r="D7" s="5" t="n"/>
      <c r="E7" s="5" t="n"/>
      <c r="F7" s="5" t="n"/>
      <c r="G7" s="5" t="n"/>
      <c r="H7" s="6" t="n"/>
    </row>
    <row r="8" ht="20" customHeight="1">
      <c r="A8" s="7" t="inlineStr">
        <is>
          <t>📋 Instruções</t>
        </is>
      </c>
      <c r="B8" s="8" t="inlineStr">
        <is>
          <t>Esta aba — Guia de uso da planilha</t>
        </is>
      </c>
    </row>
    <row r="9" ht="20" customHeight="1">
      <c r="A9" s="9" t="inlineStr">
        <is>
          <t>👤 Cliente</t>
        </is>
      </c>
      <c r="B9" s="10" t="inlineStr">
        <is>
          <t>Cadastro do cliente e composição familiar</t>
        </is>
      </c>
    </row>
    <row r="10" ht="20" customHeight="1">
      <c r="A10" s="7" t="inlineStr">
        <is>
          <t>🗺️ Ba Gua Map</t>
        </is>
      </c>
      <c r="B10" s="8" t="inlineStr">
        <is>
          <t>Mapeamento automático do Ba Gua sobre os cômodos</t>
        </is>
      </c>
    </row>
    <row r="11" ht="20" customHeight="1">
      <c r="A11" s="9" t="inlineStr">
        <is>
          <t>🔍 Diagnóstico</t>
        </is>
      </c>
      <c r="B11" s="10" t="inlineStr">
        <is>
          <t>Checklist de diagnóstico energético por setor</t>
        </is>
      </c>
    </row>
    <row r="12" ht="20" customHeight="1">
      <c r="A12" s="7" t="inlineStr">
        <is>
          <t>📊 Score Energético</t>
        </is>
      </c>
      <c r="B12" s="8" t="inlineStr">
        <is>
          <t>Pontuação e semáforo automático de cada setor</t>
        </is>
      </c>
    </row>
    <row r="13" ht="20" customHeight="1">
      <c r="A13" s="9" t="inlineStr">
        <is>
          <t>💊 Prescrições</t>
        </is>
      </c>
      <c r="B13" s="10" t="inlineStr">
        <is>
          <t>Ativações recomendadas com rituais e objetos</t>
        </is>
      </c>
    </row>
    <row r="14" ht="20" customHeight="1">
      <c r="A14" s="7" t="inlineStr">
        <is>
          <t>📅 Cronograma Lunar</t>
        </is>
      </c>
      <c r="B14" s="8" t="inlineStr">
        <is>
          <t>Calendário de rituais alinhado ao ciclo da lua</t>
        </is>
      </c>
    </row>
    <row r="15" ht="20" customHeight="1">
      <c r="A15" s="9" t="inlineStr">
        <is>
          <t>📄 Relatório</t>
        </is>
      </c>
      <c r="B15" s="10" t="inlineStr">
        <is>
          <t>Resumo executivo para enviar ao cliente</t>
        </is>
      </c>
    </row>
    <row r="17" ht="26" customHeight="1">
      <c r="A17" s="3" t="inlineStr">
        <is>
          <t>FLUXO DE TRABALHO RECOMENDADO</t>
        </is>
      </c>
    </row>
    <row r="18" ht="22" customHeight="1">
      <c r="A18" s="11" t="inlineStr">
        <is>
          <t>Passo</t>
        </is>
      </c>
      <c r="B18" s="11" t="inlineStr">
        <is>
          <t>Momento</t>
        </is>
      </c>
      <c r="C18" s="11" t="inlineStr">
        <is>
          <t>Aba</t>
        </is>
      </c>
      <c r="D18" s="11" t="inlineStr">
        <is>
          <t>Ação</t>
        </is>
      </c>
      <c r="E18" s="5" t="n"/>
      <c r="F18" s="5" t="n"/>
      <c r="G18" s="5" t="n"/>
      <c r="H18" s="6" t="n"/>
    </row>
    <row r="19" ht="20" customHeight="1">
      <c r="A19" s="12" t="inlineStr">
        <is>
          <t>1</t>
        </is>
      </c>
      <c r="B19" s="13" t="inlineStr">
        <is>
          <t>ANTES da visita</t>
        </is>
      </c>
      <c r="C19" s="14" t="inlineStr">
        <is>
          <t>Aba 👤 Cliente</t>
        </is>
      </c>
      <c r="D19" s="15" t="inlineStr">
        <is>
          <t>Preencha os dados do cliente e as intenções de cada morador</t>
        </is>
      </c>
    </row>
    <row r="20" ht="20" customHeight="1">
      <c r="A20" s="16" t="inlineStr">
        <is>
          <t>2</t>
        </is>
      </c>
      <c r="B20" s="17" t="inlineStr">
        <is>
          <t>NO INÍCIO da visita</t>
        </is>
      </c>
      <c r="C20" s="18" t="inlineStr">
        <is>
          <t>Aba 🗺️ Ba Gua Map</t>
        </is>
      </c>
      <c r="D20" s="10" t="inlineStr">
        <is>
          <t>Identifique a porta de entrada e mapeie os cômodos</t>
        </is>
      </c>
    </row>
    <row r="21" ht="20" customHeight="1">
      <c r="A21" s="12" t="inlineStr">
        <is>
          <t>3</t>
        </is>
      </c>
      <c r="B21" s="13" t="inlineStr">
        <is>
          <t>DURANTE a visita</t>
        </is>
      </c>
      <c r="C21" s="14" t="inlineStr">
        <is>
          <t>Aba 🔍 Diagnóstico</t>
        </is>
      </c>
      <c r="D21" s="15" t="inlineStr">
        <is>
          <t>Percorra cada setor respondendo o checklist</t>
        </is>
      </c>
    </row>
    <row r="22" ht="20" customHeight="1">
      <c r="A22" s="16" t="inlineStr">
        <is>
          <t>4</t>
        </is>
      </c>
      <c r="B22" s="17" t="inlineStr">
        <is>
          <t>AO FINAL da visita</t>
        </is>
      </c>
      <c r="C22" s="18" t="inlineStr">
        <is>
          <t>Aba 📊 Score Energético</t>
        </is>
      </c>
      <c r="D22" s="10" t="inlineStr">
        <is>
          <t>Veja o semáforo automático e valide as prioridades</t>
        </is>
      </c>
    </row>
    <row r="23" ht="20" customHeight="1">
      <c r="A23" s="12" t="inlineStr">
        <is>
          <t>5</t>
        </is>
      </c>
      <c r="B23" s="13" t="inlineStr">
        <is>
          <t>PÓS-VISITA</t>
        </is>
      </c>
      <c r="C23" s="14" t="inlineStr">
        <is>
          <t>Aba 💊 Prescrições</t>
        </is>
      </c>
      <c r="D23" s="15" t="inlineStr">
        <is>
          <t>Customize as prescrições e rituais para o cliente</t>
        </is>
      </c>
    </row>
    <row r="24" ht="20" customHeight="1">
      <c r="A24" s="16" t="inlineStr">
        <is>
          <t>6</t>
        </is>
      </c>
      <c r="B24" s="17" t="inlineStr">
        <is>
          <t>ENTREGA</t>
        </is>
      </c>
      <c r="C24" s="18" t="inlineStr">
        <is>
          <t>Aba 📄 Relatório</t>
        </is>
      </c>
      <c r="D24" s="10" t="inlineStr">
        <is>
          <t>Copie ou imprima o relatório para enviar ao cliente</t>
        </is>
      </c>
    </row>
  </sheetData>
  <mergeCells count="20">
    <mergeCell ref="D20:H20"/>
    <mergeCell ref="B9:H9"/>
    <mergeCell ref="D19:H19"/>
    <mergeCell ref="B15:H15"/>
    <mergeCell ref="D22:H22"/>
    <mergeCell ref="A1:H3"/>
    <mergeCell ref="A6:H6"/>
    <mergeCell ref="D21:H21"/>
    <mergeCell ref="B7:H7"/>
    <mergeCell ref="B12:H12"/>
    <mergeCell ref="B11:H11"/>
    <mergeCell ref="D18:H18"/>
    <mergeCell ref="A17:H17"/>
    <mergeCell ref="A4:H4"/>
    <mergeCell ref="B8:H8"/>
    <mergeCell ref="B14:H14"/>
    <mergeCell ref="B13:H13"/>
    <mergeCell ref="D24:H24"/>
    <mergeCell ref="D23:H23"/>
    <mergeCell ref="B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20" customWidth="1" min="4" max="4"/>
    <col width="30" customWidth="1" min="5" max="5"/>
    <col width="22" customWidth="1" min="6" max="6"/>
  </cols>
  <sheetData>
    <row r="1" ht="30" customHeight="1">
      <c r="A1" s="19" t="inlineStr">
        <is>
          <t>👤  CADASTRO DO CLIENTE</t>
        </is>
      </c>
    </row>
    <row r="2" ht="10" customHeight="1"/>
    <row r="3" ht="24" customHeight="1">
      <c r="A3" s="20" t="inlineStr">
        <is>
          <t>📌 DADOS DO CONSULTOR</t>
        </is>
      </c>
      <c r="B3" s="21" t="n"/>
      <c r="C3" s="21" t="n"/>
      <c r="D3" s="21" t="n"/>
      <c r="E3" s="21" t="n"/>
      <c r="F3" s="22" t="n"/>
    </row>
    <row r="4" ht="20" customHeight="1">
      <c r="A4" s="23" t="inlineStr">
        <is>
          <t>Nome do Consultor:</t>
        </is>
      </c>
      <c r="B4" s="10" t="inlineStr"/>
      <c r="D4" s="23" t="inlineStr">
        <is>
          <t>Número de Registro/CRM:</t>
        </is>
      </c>
      <c r="E4" s="10" t="inlineStr"/>
    </row>
    <row r="5" ht="20" customHeight="1">
      <c r="A5" s="23" t="inlineStr">
        <is>
          <t>Empresa/Studio:</t>
        </is>
      </c>
      <c r="B5" s="10" t="inlineStr"/>
      <c r="D5" s="23" t="inlineStr">
        <is>
          <t>WhatsApp:</t>
        </is>
      </c>
      <c r="E5" s="10" t="inlineStr"/>
    </row>
    <row r="6" ht="20" customHeight="1">
      <c r="A6" s="23" t="inlineStr">
        <is>
          <t>E-mail:</t>
        </is>
      </c>
      <c r="B6" s="10" t="inlineStr"/>
      <c r="D6" s="23" t="inlineStr">
        <is>
          <t>Data da Consulta:</t>
        </is>
      </c>
      <c r="E6" s="10" t="inlineStr"/>
    </row>
    <row r="8" ht="24" customHeight="1">
      <c r="A8" s="20" t="inlineStr">
        <is>
          <t>🏠 DADOS DO IMÓVEL</t>
        </is>
      </c>
      <c r="B8" s="21" t="n"/>
      <c r="C8" s="21" t="n"/>
      <c r="D8" s="21" t="n"/>
      <c r="E8" s="21" t="n"/>
      <c r="F8" s="22" t="n"/>
    </row>
    <row r="9" ht="20" customHeight="1">
      <c r="A9" s="23" t="inlineStr">
        <is>
          <t>Endereço Completo:</t>
        </is>
      </c>
      <c r="B9" s="10" t="inlineStr"/>
    </row>
    <row r="10" ht="20" customHeight="1">
      <c r="A10" s="23" t="inlineStr">
        <is>
          <t>Tipo de Imóvel:</t>
        </is>
      </c>
      <c r="B10" s="10" t="inlineStr"/>
    </row>
    <row r="11" ht="20" customHeight="1">
      <c r="A11" s="23" t="inlineStr">
        <is>
          <t>Metragem Aprox. (m²):</t>
        </is>
      </c>
      <c r="E11" s="10" t="inlineStr"/>
    </row>
    <row r="12" ht="20" customHeight="1">
      <c r="A12" s="23" t="inlineStr">
        <is>
          <t>Nº de Cômodos:</t>
        </is>
      </c>
      <c r="B12" s="10" t="inlineStr"/>
    </row>
    <row r="13" ht="20" customHeight="1">
      <c r="A13" s="23" t="inlineStr">
        <is>
          <t>Andar / Pavimento:</t>
        </is>
      </c>
      <c r="E13" s="10" t="inlineStr"/>
    </row>
    <row r="14" ht="20" customHeight="1">
      <c r="A14" s="23" t="inlineStr">
        <is>
          <t>Porta de Entrada Voltada para:</t>
        </is>
      </c>
      <c r="B14" s="10" t="inlineStr"/>
    </row>
    <row r="16" ht="24" customHeight="1">
      <c r="A16" s="20" t="inlineStr">
        <is>
          <t>👨‍👩‍👧 COMPOSIÇÃO FAMILIAR</t>
        </is>
      </c>
      <c r="B16" s="21" t="n"/>
      <c r="C16" s="21" t="n"/>
      <c r="D16" s="21" t="n"/>
      <c r="E16" s="21" t="n"/>
      <c r="F16" s="22" t="n"/>
    </row>
    <row r="17" ht="22" customHeight="1">
      <c r="A17" s="11" t="inlineStr">
        <is>
          <t>Nome</t>
        </is>
      </c>
      <c r="B17" s="11" t="inlineStr">
        <is>
          <t>Relação</t>
        </is>
      </c>
      <c r="C17" s="11" t="inlineStr">
        <is>
          <t>Idade</t>
        </is>
      </c>
      <c r="D17" s="11" t="inlineStr">
        <is>
          <t>Quarto/Área Própria</t>
        </is>
      </c>
      <c r="E17" s="11" t="inlineStr">
        <is>
          <t>Intenção Principal</t>
        </is>
      </c>
      <c r="F17" s="11" t="inlineStr">
        <is>
          <t>Setor Relevante</t>
        </is>
      </c>
    </row>
    <row r="18" ht="20" customHeight="1">
      <c r="A18" s="8" t="inlineStr"/>
      <c r="B18" s="8" t="inlineStr"/>
      <c r="C18" s="8" t="inlineStr"/>
      <c r="D18" s="8" t="inlineStr"/>
      <c r="E18" s="8" t="inlineStr"/>
      <c r="F18" s="8" t="inlineStr"/>
    </row>
    <row r="19" ht="20" customHeight="1">
      <c r="A19" s="10" t="inlineStr"/>
      <c r="B19" s="10" t="inlineStr"/>
      <c r="C19" s="10" t="inlineStr"/>
      <c r="D19" s="10" t="inlineStr"/>
      <c r="E19" s="10" t="inlineStr"/>
      <c r="F19" s="10" t="inlineStr"/>
    </row>
    <row r="20" ht="20" customHeight="1">
      <c r="A20" s="8" t="inlineStr"/>
      <c r="B20" s="8" t="inlineStr"/>
      <c r="C20" s="8" t="inlineStr"/>
      <c r="D20" s="8" t="inlineStr"/>
      <c r="E20" s="8" t="inlineStr"/>
      <c r="F20" s="8" t="inlineStr"/>
    </row>
    <row r="21" ht="20" customHeight="1">
      <c r="A21" s="10" t="inlineStr"/>
      <c r="B21" s="10" t="inlineStr"/>
      <c r="C21" s="10" t="inlineStr"/>
      <c r="D21" s="10" t="inlineStr"/>
      <c r="E21" s="10" t="inlineStr"/>
      <c r="F21" s="10" t="inlineStr"/>
    </row>
    <row r="22" ht="20" customHeight="1">
      <c r="A22" s="8" t="inlineStr"/>
      <c r="B22" s="8" t="inlineStr"/>
      <c r="C22" s="8" t="inlineStr"/>
      <c r="D22" s="8" t="inlineStr"/>
      <c r="E22" s="8" t="inlineStr"/>
      <c r="F22" s="8" t="inlineStr"/>
    </row>
    <row r="23" ht="20" customHeight="1">
      <c r="A23" s="10" t="inlineStr"/>
      <c r="B23" s="10" t="inlineStr"/>
      <c r="C23" s="10" t="inlineStr"/>
      <c r="D23" s="10" t="inlineStr"/>
      <c r="E23" s="10" t="inlineStr"/>
      <c r="F23" s="10" t="inlineStr"/>
    </row>
    <row r="25" ht="24" customHeight="1">
      <c r="A25" s="20" t="inlineStr">
        <is>
          <t>🎯 INTENÇÕES DA CONSULTA</t>
        </is>
      </c>
      <c r="B25" s="21" t="n"/>
      <c r="C25" s="21" t="n"/>
      <c r="D25" s="21" t="n"/>
      <c r="E25" s="21" t="n"/>
      <c r="F25" s="22" t="n"/>
    </row>
    <row r="26" ht="22" customHeight="1">
      <c r="A26" s="11" t="inlineStr">
        <is>
          <t>Área de Vida</t>
        </is>
      </c>
      <c r="B26" s="11" t="inlineStr">
        <is>
          <t>Prioridade (1-9)</t>
        </is>
      </c>
      <c r="C26" s="11" t="inlineStr">
        <is>
          <t>Situação Atual</t>
        </is>
      </c>
      <c r="D26" s="6" t="n"/>
      <c r="E26" s="11" t="inlineStr">
        <is>
          <t>Desejo / Intenção</t>
        </is>
      </c>
      <c r="F26" s="6" t="n"/>
    </row>
    <row r="27" ht="22" customHeight="1">
      <c r="A27" s="24" t="inlineStr">
        <is>
          <t>Prosperidade / Finanças</t>
        </is>
      </c>
      <c r="B27" s="25" t="inlineStr"/>
      <c r="C27" s="10" t="inlineStr"/>
      <c r="E27" s="10" t="inlineStr"/>
    </row>
    <row r="28" ht="22" customHeight="1">
      <c r="A28" s="26" t="inlineStr">
        <is>
          <t>Saúde / Bem-estar</t>
        </is>
      </c>
      <c r="B28" s="25" t="inlineStr"/>
      <c r="C28" s="10" t="inlineStr"/>
      <c r="E28" s="10" t="inlineStr"/>
    </row>
    <row r="29" ht="22" customHeight="1">
      <c r="A29" s="27" t="inlineStr">
        <is>
          <t>Relacionamentos / Amor</t>
        </is>
      </c>
      <c r="B29" s="25" t="inlineStr"/>
      <c r="C29" s="10" t="inlineStr"/>
      <c r="E29" s="10" t="inlineStr"/>
    </row>
    <row r="30" ht="22" customHeight="1">
      <c r="A30" s="28" t="inlineStr">
        <is>
          <t>Carreira / Profissional</t>
        </is>
      </c>
      <c r="B30" s="25" t="inlineStr"/>
      <c r="C30" s="10" t="inlineStr"/>
      <c r="E30" s="10" t="inlineStr"/>
    </row>
    <row r="31" ht="22" customHeight="1">
      <c r="A31" s="29" t="inlineStr">
        <is>
          <t>Família / Harmonia</t>
        </is>
      </c>
      <c r="B31" s="25" t="inlineStr"/>
      <c r="C31" s="10" t="inlineStr"/>
      <c r="E31" s="10" t="inlineStr"/>
    </row>
    <row r="32" ht="22" customHeight="1">
      <c r="A32" s="28" t="inlineStr">
        <is>
          <t>Criatividade / Projetos</t>
        </is>
      </c>
      <c r="B32" s="25" t="inlineStr"/>
      <c r="C32" s="10" t="inlineStr"/>
      <c r="E32" s="10" t="inlineStr"/>
    </row>
    <row r="33" ht="22" customHeight="1">
      <c r="A33" s="30" t="inlineStr">
        <is>
          <t>Fama / Reconhecimento</t>
        </is>
      </c>
      <c r="B33" s="25" t="inlineStr"/>
      <c r="C33" s="10" t="inlineStr"/>
      <c r="E33" s="10" t="inlineStr"/>
    </row>
    <row r="34" ht="22" customHeight="1">
      <c r="A34" s="31" t="inlineStr">
        <is>
          <t>Conhecimento / Espiritualidade</t>
        </is>
      </c>
      <c r="B34" s="25" t="inlineStr"/>
      <c r="C34" s="10" t="inlineStr"/>
      <c r="E34" s="10" t="inlineStr"/>
    </row>
    <row r="35" ht="22" customHeight="1">
      <c r="A35" s="32" t="inlineStr">
        <is>
          <t>Ajudantes / Viagens</t>
        </is>
      </c>
      <c r="B35" s="25" t="inlineStr"/>
      <c r="C35" s="10" t="inlineStr"/>
      <c r="E35" s="10" t="inlineStr"/>
    </row>
    <row r="37" ht="24" customHeight="1">
      <c r="A37" s="20" t="inlineStr">
        <is>
          <t>📝 OBSERVAÇÕES GERAIS</t>
        </is>
      </c>
      <c r="B37" s="21" t="n"/>
      <c r="C37" s="21" t="n"/>
      <c r="D37" s="21" t="n"/>
      <c r="E37" s="21" t="n"/>
      <c r="F37" s="22" t="n"/>
    </row>
    <row r="38" ht="20" customHeight="1">
      <c r="A38" s="33" t="n"/>
    </row>
    <row r="39" ht="20" customHeight="1"/>
    <row r="40" ht="20" customHeight="1"/>
    <row r="41" ht="20" customHeight="1"/>
    <row r="42" ht="20" customHeight="1"/>
  </sheetData>
  <mergeCells count="39">
    <mergeCell ref="A16:F16"/>
    <mergeCell ref="C34:D34"/>
    <mergeCell ref="C30:D30"/>
    <mergeCell ref="C33:D33"/>
    <mergeCell ref="E33:F33"/>
    <mergeCell ref="A37:F37"/>
    <mergeCell ref="E5:F5"/>
    <mergeCell ref="A3:F3"/>
    <mergeCell ref="C26:D26"/>
    <mergeCell ref="C35:D35"/>
    <mergeCell ref="B12:C12"/>
    <mergeCell ref="E35:F35"/>
    <mergeCell ref="E4:F4"/>
    <mergeCell ref="C29:D29"/>
    <mergeCell ref="E29:F29"/>
    <mergeCell ref="A1:F2"/>
    <mergeCell ref="A8:F8"/>
    <mergeCell ref="E28:F28"/>
    <mergeCell ref="E13:F13"/>
    <mergeCell ref="B14:F14"/>
    <mergeCell ref="C31:D31"/>
    <mergeCell ref="E31:F31"/>
    <mergeCell ref="E34:F34"/>
    <mergeCell ref="E6:F6"/>
    <mergeCell ref="E30:F30"/>
    <mergeCell ref="C27:D27"/>
    <mergeCell ref="B10:C10"/>
    <mergeCell ref="E11:F11"/>
    <mergeCell ref="E27:F27"/>
    <mergeCell ref="E26:F26"/>
    <mergeCell ref="B9:F9"/>
    <mergeCell ref="A38:F42"/>
    <mergeCell ref="B6:C6"/>
    <mergeCell ref="C32:D32"/>
    <mergeCell ref="E32:F32"/>
    <mergeCell ref="B5:C5"/>
    <mergeCell ref="C28:D28"/>
    <mergeCell ref="B4:C4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6" customWidth="1" min="4" max="4"/>
    <col width="14" customWidth="1" min="5" max="5"/>
    <col width="12" customWidth="1" min="6" max="6"/>
    <col width="14" customWidth="1" min="7" max="7"/>
    <col width="16" customWidth="1" min="8" max="8"/>
    <col width="18" customWidth="1" min="9" max="9"/>
    <col width="14" customWidth="1" min="10" max="10"/>
  </cols>
  <sheetData>
    <row r="1" ht="30" customHeight="1">
      <c r="A1" s="19" t="inlineStr">
        <is>
          <t>🗺️  MAPEAMENTO DO BA GUA — Escola Chapéu Preto</t>
        </is>
      </c>
    </row>
    <row r="2"/>
    <row r="3" ht="24" customHeight="1">
      <c r="A3" s="34" t="inlineStr">
        <is>
          <t>📐 INSTRUÇÃO: Identifique a Porta de Entrada e mapeie os cômodos abaixo</t>
        </is>
      </c>
      <c r="B3" s="35" t="n"/>
      <c r="C3" s="35" t="n"/>
      <c r="D3" s="35" t="n"/>
      <c r="E3" s="35" t="n"/>
      <c r="F3" s="35" t="n"/>
      <c r="G3" s="35" t="n"/>
      <c r="H3" s="35" t="n"/>
      <c r="I3" s="35" t="n"/>
      <c r="J3" s="36" t="n"/>
    </row>
    <row r="4" ht="22" customHeight="1">
      <c r="A4" s="23" t="inlineStr">
        <is>
          <t>Porta de Entrada localizada em:</t>
        </is>
      </c>
      <c r="B4" s="37" t="inlineStr">
        <is>
          <t>Centro-Frente</t>
        </is>
      </c>
      <c r="E4" s="38" t="inlineStr">
        <is>
          <t>→ No Chapéu Preto a porta SEMPRE fica na base do Ba Gua (Carreira, Conhecimento ou Ajudantes)</t>
        </is>
      </c>
    </row>
    <row r="6" ht="24" customHeight="1">
      <c r="A6" s="20" t="inlineStr">
        <is>
          <t>🏠 GRADE DO BA GUA — Associe cada setor ao(s) cômodo(s) correspondente(s)</t>
        </is>
      </c>
      <c r="B6" s="21" t="n"/>
      <c r="C6" s="21" t="n"/>
      <c r="D6" s="21" t="n"/>
      <c r="E6" s="21" t="n"/>
      <c r="F6" s="21" t="n"/>
      <c r="G6" s="21" t="n"/>
      <c r="H6" s="21" t="n"/>
      <c r="I6" s="21" t="n"/>
      <c r="J6" s="22" t="n"/>
    </row>
    <row r="7" ht="22" customHeight="1">
      <c r="A7" s="39" t="inlineStr">
        <is>
          <t>Posição</t>
        </is>
      </c>
      <c r="B7" s="39" t="inlineStr">
        <is>
          <t>Setor Ba Gua</t>
        </is>
      </c>
      <c r="C7" s="6" t="n"/>
      <c r="D7" s="39" t="inlineStr">
        <is>
          <t>Cômodo(s) da Casa</t>
        </is>
      </c>
      <c r="E7" s="5" t="n"/>
      <c r="F7" s="6" t="n"/>
      <c r="G7" s="39" t="inlineStr">
        <is>
          <t>Regularidade</t>
        </is>
      </c>
      <c r="H7" s="39" t="inlineStr">
        <is>
          <t>Área Faltando?</t>
        </is>
      </c>
      <c r="I7" s="39" t="inlineStr">
        <is>
          <t>Área em Excesso?</t>
        </is>
      </c>
      <c r="J7" s="39" t="inlineStr">
        <is>
          <t>Score Inicial</t>
        </is>
      </c>
    </row>
    <row r="8" ht="24" customHeight="1">
      <c r="A8" s="40" t="inlineStr">
        <is>
          <t>FUNDO ESQUERDA</t>
        </is>
      </c>
      <c r="B8" s="7" t="inlineStr">
        <is>
          <t>Prosperidade / Riqueza</t>
        </is>
      </c>
      <c r="D8" s="10" t="inlineStr"/>
      <c r="G8" s="25" t="inlineStr">
        <is>
          <t>Regular</t>
        </is>
      </c>
      <c r="H8" s="25" t="inlineStr">
        <is>
          <t>Não</t>
        </is>
      </c>
      <c r="I8" s="25" t="inlineStr">
        <is>
          <t>Não</t>
        </is>
      </c>
      <c r="J8" s="25" t="inlineStr">
        <is>
          <t>5</t>
        </is>
      </c>
    </row>
    <row r="9" ht="24" customHeight="1">
      <c r="A9" s="40" t="inlineStr">
        <is>
          <t>FUNDO CENTRO</t>
        </is>
      </c>
      <c r="B9" s="30" t="inlineStr">
        <is>
          <t>Fama / Reputação</t>
        </is>
      </c>
      <c r="D9" s="10" t="inlineStr"/>
      <c r="G9" s="25" t="inlineStr">
        <is>
          <t>Regular</t>
        </is>
      </c>
      <c r="H9" s="25" t="inlineStr">
        <is>
          <t>Não</t>
        </is>
      </c>
      <c r="I9" s="25" t="inlineStr">
        <is>
          <t>Não</t>
        </is>
      </c>
      <c r="J9" s="25" t="inlineStr">
        <is>
          <t>5</t>
        </is>
      </c>
    </row>
    <row r="10" ht="24" customHeight="1">
      <c r="A10" s="40" t="inlineStr">
        <is>
          <t>FUNDO DIREITA</t>
        </is>
      </c>
      <c r="B10" s="27" t="inlineStr">
        <is>
          <t>Relacionamentos / Amor</t>
        </is>
      </c>
      <c r="D10" s="10" t="inlineStr"/>
      <c r="G10" s="25" t="inlineStr">
        <is>
          <t>Regular</t>
        </is>
      </c>
      <c r="H10" s="25" t="inlineStr">
        <is>
          <t>Não</t>
        </is>
      </c>
      <c r="I10" s="25" t="inlineStr">
        <is>
          <t>Não</t>
        </is>
      </c>
      <c r="J10" s="25" t="inlineStr">
        <is>
          <t>5</t>
        </is>
      </c>
    </row>
    <row r="11" ht="24" customHeight="1">
      <c r="A11" s="40" t="inlineStr">
        <is>
          <t>CENTRO ESQUERDA</t>
        </is>
      </c>
      <c r="B11" s="29" t="inlineStr">
        <is>
          <t>Família / Saúde</t>
        </is>
      </c>
      <c r="D11" s="10" t="inlineStr"/>
      <c r="G11" s="25" t="inlineStr">
        <is>
          <t>Regular</t>
        </is>
      </c>
      <c r="H11" s="25" t="inlineStr">
        <is>
          <t>Não</t>
        </is>
      </c>
      <c r="I11" s="25" t="inlineStr">
        <is>
          <t>Não</t>
        </is>
      </c>
      <c r="J11" s="25" t="inlineStr">
        <is>
          <t>5</t>
        </is>
      </c>
    </row>
    <row r="12" ht="24" customHeight="1">
      <c r="A12" s="40" t="inlineStr">
        <is>
          <t>CENTRO</t>
        </is>
      </c>
      <c r="B12" s="26" t="inlineStr">
        <is>
          <t>Saúde / Centro</t>
        </is>
      </c>
      <c r="D12" s="10" t="inlineStr"/>
      <c r="G12" s="25" t="inlineStr">
        <is>
          <t>Regular</t>
        </is>
      </c>
      <c r="H12" s="25" t="inlineStr">
        <is>
          <t>Não</t>
        </is>
      </c>
      <c r="I12" s="25" t="inlineStr">
        <is>
          <t>Não</t>
        </is>
      </c>
      <c r="J12" s="25" t="inlineStr">
        <is>
          <t>5</t>
        </is>
      </c>
    </row>
    <row r="13" ht="24" customHeight="1">
      <c r="A13" s="40" t="inlineStr">
        <is>
          <t>CENTRO DIREITA</t>
        </is>
      </c>
      <c r="B13" s="28" t="inlineStr">
        <is>
          <t>Criatividade / Filhos</t>
        </is>
      </c>
      <c r="D13" s="10" t="inlineStr"/>
      <c r="G13" s="25" t="inlineStr">
        <is>
          <t>Regular</t>
        </is>
      </c>
      <c r="H13" s="25" t="inlineStr">
        <is>
          <t>Não</t>
        </is>
      </c>
      <c r="I13" s="25" t="inlineStr">
        <is>
          <t>Não</t>
        </is>
      </c>
      <c r="J13" s="25" t="inlineStr">
        <is>
          <t>5</t>
        </is>
      </c>
    </row>
    <row r="14" ht="24" customHeight="1">
      <c r="A14" s="40" t="inlineStr">
        <is>
          <t>FRENTE ESQUERDA</t>
        </is>
      </c>
      <c r="B14" s="31" t="inlineStr">
        <is>
          <t>Conhecimento / Self</t>
        </is>
      </c>
      <c r="D14" s="10" t="inlineStr"/>
      <c r="G14" s="25" t="inlineStr">
        <is>
          <t>Regular</t>
        </is>
      </c>
      <c r="H14" s="25" t="inlineStr">
        <is>
          <t>Não</t>
        </is>
      </c>
      <c r="I14" s="25" t="inlineStr">
        <is>
          <t>Não</t>
        </is>
      </c>
      <c r="J14" s="25" t="inlineStr">
        <is>
          <t>5</t>
        </is>
      </c>
    </row>
    <row r="15" ht="24" customHeight="1">
      <c r="A15" s="40" t="inlineStr">
        <is>
          <t>FRENTE CENTRO</t>
        </is>
      </c>
      <c r="B15" s="28" t="inlineStr">
        <is>
          <t>Carreira / Vida</t>
        </is>
      </c>
      <c r="D15" s="10" t="inlineStr"/>
      <c r="G15" s="25" t="inlineStr">
        <is>
          <t>Regular</t>
        </is>
      </c>
      <c r="H15" s="25" t="inlineStr">
        <is>
          <t>Não</t>
        </is>
      </c>
      <c r="I15" s="25" t="inlineStr">
        <is>
          <t>Não</t>
        </is>
      </c>
      <c r="J15" s="25" t="inlineStr">
        <is>
          <t>5</t>
        </is>
      </c>
    </row>
    <row r="16" ht="24" customHeight="1">
      <c r="A16" s="40" t="inlineStr">
        <is>
          <t>FRENTE DIREITA</t>
        </is>
      </c>
      <c r="B16" s="32" t="inlineStr">
        <is>
          <t>Ajudantes / Viagens</t>
        </is>
      </c>
      <c r="D16" s="10" t="inlineStr"/>
      <c r="G16" s="25" t="inlineStr">
        <is>
          <t>Regular</t>
        </is>
      </c>
      <c r="H16" s="25" t="inlineStr">
        <is>
          <t>Não</t>
        </is>
      </c>
      <c r="I16" s="25" t="inlineStr">
        <is>
          <t>Não</t>
        </is>
      </c>
      <c r="J16" s="25" t="inlineStr">
        <is>
          <t>5</t>
        </is>
      </c>
    </row>
    <row r="18" ht="24" customHeight="1">
      <c r="A18" s="20" t="inlineStr">
        <is>
          <t>📝 NOTAS SOBRE A PLANTA / IRREGULARIDADES IDENTIFICADAS</t>
        </is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2" t="n"/>
    </row>
    <row r="19" ht="20" customHeight="1">
      <c r="A19" s="33" t="n"/>
    </row>
    <row r="20" ht="20" customHeight="1"/>
    <row r="21" ht="20" customHeight="1"/>
    <row r="22" ht="20" customHeight="1"/>
    <row r="23" ht="20" customHeight="1"/>
    <row r="24" ht="20" customHeight="1"/>
  </sheetData>
  <mergeCells count="27">
    <mergeCell ref="A1:J2"/>
    <mergeCell ref="D11:F11"/>
    <mergeCell ref="D13:F13"/>
    <mergeCell ref="B7:C7"/>
    <mergeCell ref="B16:C16"/>
    <mergeCell ref="D7:F7"/>
    <mergeCell ref="D16:F16"/>
    <mergeCell ref="B12:C12"/>
    <mergeCell ref="B11:C11"/>
    <mergeCell ref="D12:F12"/>
    <mergeCell ref="D9:F9"/>
    <mergeCell ref="B14:C14"/>
    <mergeCell ref="D8:F8"/>
    <mergeCell ref="B8:C8"/>
    <mergeCell ref="D15:F15"/>
    <mergeCell ref="B13:C13"/>
    <mergeCell ref="D14:F14"/>
    <mergeCell ref="A6:J6"/>
    <mergeCell ref="B4:D4"/>
    <mergeCell ref="B10:C10"/>
    <mergeCell ref="B9:C9"/>
    <mergeCell ref="D10:F10"/>
    <mergeCell ref="B15:C15"/>
    <mergeCell ref="A18:J18"/>
    <mergeCell ref="A3:J3"/>
    <mergeCell ref="E4:J4"/>
    <mergeCell ref="A19:J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8" customWidth="1" min="13" max="13"/>
    <col width="12" customWidth="1" min="14" max="14"/>
  </cols>
  <sheetData>
    <row r="1" ht="30" customHeight="1">
      <c r="A1" s="19" t="inlineStr">
        <is>
          <t>🔍  DIAGNÓSTICO ENERGÉTICO — Checklist por Setor</t>
        </is>
      </c>
    </row>
    <row r="2"/>
    <row r="3" ht="20" customHeight="1">
      <c r="A3" s="41" t="inlineStr">
        <is>
          <t>LEGENDA: 3=Sim/Bom | 2=Parcial/Regular | 1=Não/Ruim | 0=Ausente/Crítico</t>
        </is>
      </c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3" t="n"/>
    </row>
    <row r="4" ht="36" customHeight="1">
      <c r="A4" s="39" t="inlineStr">
        <is>
          <t>Setor</t>
        </is>
      </c>
      <c r="B4" s="39" t="inlineStr">
        <is>
          <t>Cômodos</t>
        </is>
      </c>
      <c r="C4" s="39" t="inlineStr">
        <is>
          <t>Cômodo Visitado</t>
        </is>
      </c>
      <c r="D4" s="39" t="inlineStr">
        <is>
          <t>Iluminação</t>
        </is>
      </c>
      <c r="E4" s="39" t="inlineStr">
        <is>
          <t>Plantas</t>
        </is>
      </c>
      <c r="F4" s="39" t="inlineStr">
        <is>
          <t>Organização</t>
        </is>
      </c>
      <c r="G4" s="39" t="inlineStr">
        <is>
          <t>Fluxo</t>
        </is>
      </c>
      <c r="H4" s="39" t="inlineStr">
        <is>
          <t>Cor</t>
        </is>
      </c>
      <c r="I4" s="39" t="inlineStr">
        <is>
          <t>Espelhos</t>
        </is>
      </c>
      <c r="J4" s="39" t="inlineStr">
        <is>
          <t>Porta/Janela</t>
        </is>
      </c>
      <c r="K4" s="39" t="inlineStr">
        <is>
          <t>Geometria</t>
        </is>
      </c>
      <c r="L4" s="39" t="inlineStr">
        <is>
          <t>Score</t>
        </is>
      </c>
      <c r="M4" s="39" t="inlineStr">
        <is>
          <t>Máx</t>
        </is>
      </c>
      <c r="N4" s="39" t="inlineStr">
        <is>
          <t>% Saúde</t>
        </is>
      </c>
    </row>
    <row r="5" ht="24" customHeight="1">
      <c r="A5" s="44" t="inlineStr">
        <is>
          <t>🔴 PROSPERIDADE</t>
        </is>
      </c>
      <c r="B5" s="45" t="n"/>
      <c r="C5" s="45" t="n"/>
      <c r="D5" s="45" t="n"/>
      <c r="E5" s="45" t="n"/>
      <c r="F5" s="45" t="n"/>
      <c r="G5" s="45" t="n"/>
      <c r="H5" s="45" t="n"/>
      <c r="I5" s="45" t="n"/>
      <c r="J5" s="45" t="n"/>
      <c r="K5" s="45" t="n"/>
      <c r="L5" s="45" t="n"/>
      <c r="M5" s="45" t="n"/>
      <c r="N5" s="46" t="n"/>
    </row>
    <row r="6" ht="18" customHeight="1">
      <c r="A6" s="47" t="inlineStr">
        <is>
          <t>Cômodo(s):</t>
        </is>
      </c>
      <c r="B6" s="48" t="inlineStr">
        <is>
          <t>Suíte 1 + Closet + Terraço Técnico</t>
        </is>
      </c>
    </row>
    <row r="7" ht="20" customHeight="1">
      <c r="A7" s="47" t="inlineStr">
        <is>
          <t>Iluminação</t>
        </is>
      </c>
      <c r="B7" s="49" t="inlineStr">
        <is>
          <t>O setor tem boa iluminação natural e artificial?</t>
        </is>
      </c>
      <c r="D7" s="25" t="n">
        <v>3</v>
      </c>
      <c r="E7" s="25" t="n">
        <v>3</v>
      </c>
      <c r="F7" s="25" t="n">
        <v>3</v>
      </c>
      <c r="G7" s="25" t="n">
        <v>3</v>
      </c>
      <c r="H7" s="25" t="n">
        <v>3</v>
      </c>
      <c r="I7" s="25" t="n">
        <v>3</v>
      </c>
      <c r="J7" s="25" t="n">
        <v>3</v>
      </c>
      <c r="K7" s="25" t="n">
        <v>3</v>
      </c>
    </row>
    <row r="8" ht="20" customHeight="1">
      <c r="A8" s="50" t="inlineStr">
        <is>
          <t>Plantas</t>
        </is>
      </c>
      <c r="B8" s="51" t="inlineStr">
        <is>
          <t>Existe planta viva e saudável no setor?</t>
        </is>
      </c>
      <c r="D8" s="25" t="n">
        <v>3</v>
      </c>
      <c r="E8" s="25" t="n">
        <v>3</v>
      </c>
      <c r="F8" s="25" t="n">
        <v>3</v>
      </c>
      <c r="G8" s="25" t="n">
        <v>3</v>
      </c>
      <c r="H8" s="25" t="n">
        <v>3</v>
      </c>
      <c r="I8" s="25" t="n">
        <v>3</v>
      </c>
      <c r="J8" s="25" t="n">
        <v>3</v>
      </c>
      <c r="K8" s="25" t="n">
        <v>3</v>
      </c>
    </row>
    <row r="9" ht="20" customHeight="1">
      <c r="A9" s="47" t="inlineStr">
        <is>
          <t>Organização</t>
        </is>
      </c>
      <c r="B9" s="49" t="inlineStr">
        <is>
          <t>O espaço está organizado e sem acúmulo?</t>
        </is>
      </c>
      <c r="D9" s="25" t="n">
        <v>3</v>
      </c>
      <c r="E9" s="25" t="n">
        <v>3</v>
      </c>
      <c r="F9" s="25" t="n">
        <v>3</v>
      </c>
      <c r="G9" s="25" t="n">
        <v>3</v>
      </c>
      <c r="H9" s="25" t="n">
        <v>3</v>
      </c>
      <c r="I9" s="25" t="n">
        <v>3</v>
      </c>
      <c r="J9" s="25" t="n">
        <v>3</v>
      </c>
      <c r="K9" s="25" t="n">
        <v>3</v>
      </c>
    </row>
    <row r="10" ht="20" customHeight="1">
      <c r="A10" s="50" t="inlineStr">
        <is>
          <t>Fluxo</t>
        </is>
      </c>
      <c r="B10" s="51" t="inlineStr">
        <is>
          <t>O chi circula livremente (sem bloqueios de mobília)?</t>
        </is>
      </c>
      <c r="D10" s="25" t="n">
        <v>3</v>
      </c>
      <c r="E10" s="25" t="n">
        <v>3</v>
      </c>
      <c r="F10" s="25" t="n">
        <v>3</v>
      </c>
      <c r="G10" s="25" t="n">
        <v>3</v>
      </c>
      <c r="H10" s="25" t="n">
        <v>3</v>
      </c>
      <c r="I10" s="25" t="n">
        <v>3</v>
      </c>
      <c r="J10" s="25" t="n">
        <v>3</v>
      </c>
      <c r="K10" s="25" t="n">
        <v>3</v>
      </c>
    </row>
    <row r="11" ht="20" customHeight="1">
      <c r="A11" s="47" t="inlineStr">
        <is>
          <t>Cor</t>
        </is>
      </c>
      <c r="B11" s="49" t="inlineStr">
        <is>
          <t>A cor dominante é compatível com o elemento do setor?</t>
        </is>
      </c>
      <c r="D11" s="25" t="n">
        <v>3</v>
      </c>
      <c r="E11" s="25" t="n">
        <v>3</v>
      </c>
      <c r="F11" s="25" t="n">
        <v>3</v>
      </c>
      <c r="G11" s="25" t="n">
        <v>3</v>
      </c>
      <c r="H11" s="25" t="n">
        <v>3</v>
      </c>
      <c r="I11" s="25" t="n">
        <v>3</v>
      </c>
      <c r="J11" s="25" t="n">
        <v>3</v>
      </c>
      <c r="K11" s="25" t="n">
        <v>3</v>
      </c>
    </row>
    <row r="12" ht="20" customHeight="1">
      <c r="A12" s="50" t="inlineStr">
        <is>
          <t>Espelhos</t>
        </is>
      </c>
      <c r="B12" s="51" t="inlineStr">
        <is>
          <t>Espelhos estão posicionados corretamente?</t>
        </is>
      </c>
      <c r="D12" s="25" t="n">
        <v>3</v>
      </c>
      <c r="E12" s="25" t="n">
        <v>3</v>
      </c>
      <c r="F12" s="25" t="n">
        <v>3</v>
      </c>
      <c r="G12" s="25" t="n">
        <v>3</v>
      </c>
      <c r="H12" s="25" t="n">
        <v>3</v>
      </c>
      <c r="I12" s="25" t="n">
        <v>3</v>
      </c>
      <c r="J12" s="25" t="n">
        <v>3</v>
      </c>
      <c r="K12" s="25" t="n">
        <v>3</v>
      </c>
    </row>
    <row r="13" ht="20" customHeight="1">
      <c r="A13" s="47" t="inlineStr">
        <is>
          <t>Porta/Janela</t>
        </is>
      </c>
      <c r="B13" s="49" t="inlineStr">
        <is>
          <t>Porta abre 100%? Janelas funcionam?</t>
        </is>
      </c>
      <c r="D13" s="25" t="n">
        <v>3</v>
      </c>
      <c r="E13" s="25" t="n">
        <v>3</v>
      </c>
      <c r="F13" s="25" t="n">
        <v>3</v>
      </c>
      <c r="G13" s="25" t="n">
        <v>3</v>
      </c>
      <c r="H13" s="25" t="n">
        <v>3</v>
      </c>
      <c r="I13" s="25" t="n">
        <v>3</v>
      </c>
      <c r="J13" s="25" t="n">
        <v>3</v>
      </c>
      <c r="K13" s="25" t="n">
        <v>3</v>
      </c>
    </row>
    <row r="14" ht="20" customHeight="1">
      <c r="A14" s="50" t="inlineStr">
        <is>
          <t>Geometria</t>
        </is>
      </c>
      <c r="B14" s="51" t="inlineStr">
        <is>
          <t>O setor é regular (sem recuos ou saliências problemáticos)?</t>
        </is>
      </c>
      <c r="D14" s="25" t="n">
        <v>3</v>
      </c>
      <c r="E14" s="25" t="n">
        <v>3</v>
      </c>
      <c r="F14" s="25" t="n">
        <v>3</v>
      </c>
      <c r="G14" s="25" t="n">
        <v>3</v>
      </c>
      <c r="H14" s="25" t="n">
        <v>3</v>
      </c>
      <c r="I14" s="25" t="n">
        <v>3</v>
      </c>
      <c r="J14" s="25" t="n">
        <v>3</v>
      </c>
      <c r="K14" s="25" t="n">
        <v>3</v>
      </c>
    </row>
    <row r="15" ht="24" customHeight="1">
      <c r="A15" s="24" t="inlineStr">
        <is>
          <t>TOTAL DO SETOR:</t>
        </is>
      </c>
      <c r="D15" s="52" t="inlineStr"/>
      <c r="E15" s="52" t="inlineStr"/>
      <c r="F15" s="52" t="inlineStr"/>
      <c r="G15" s="52" t="inlineStr"/>
      <c r="H15" s="52" t="inlineStr"/>
      <c r="I15" s="52" t="inlineStr"/>
      <c r="J15" s="52" t="inlineStr"/>
      <c r="K15" s="52" t="inlineStr"/>
      <c r="L15" s="53">
        <f>SUM(D7:K14)</f>
        <v/>
      </c>
      <c r="M15" s="54">
        <f>24</f>
        <v/>
      </c>
      <c r="N15" s="55">
        <f>IF(L15&gt;0,L15/M15,0)</f>
        <v/>
      </c>
    </row>
    <row r="17" ht="24" customHeight="1">
      <c r="A17" s="56" t="inlineStr">
        <is>
          <t>🔥 FAMA</t>
        </is>
      </c>
      <c r="B17" s="57" t="n"/>
      <c r="C17" s="57" t="n"/>
      <c r="D17" s="57" t="n"/>
      <c r="E17" s="57" t="n"/>
      <c r="F17" s="57" t="n"/>
      <c r="G17" s="57" t="n"/>
      <c r="H17" s="57" t="n"/>
      <c r="I17" s="57" t="n"/>
      <c r="J17" s="57" t="n"/>
      <c r="K17" s="57" t="n"/>
      <c r="L17" s="57" t="n"/>
      <c r="M17" s="57" t="n"/>
      <c r="N17" s="58" t="n"/>
    </row>
    <row r="18" ht="18" customHeight="1">
      <c r="A18" s="59" t="inlineStr">
        <is>
          <t>Cômodo(s):</t>
        </is>
      </c>
      <c r="B18" s="60" t="inlineStr">
        <is>
          <t>Suíte Master</t>
        </is>
      </c>
    </row>
    <row r="19" ht="20" customHeight="1">
      <c r="A19" s="59" t="inlineStr">
        <is>
          <t>Iluminação</t>
        </is>
      </c>
      <c r="B19" s="49" t="inlineStr">
        <is>
          <t>O setor tem boa iluminação natural e artificial?</t>
        </is>
      </c>
      <c r="D19" s="25" t="n">
        <v>3</v>
      </c>
      <c r="E19" s="25" t="n">
        <v>3</v>
      </c>
      <c r="F19" s="25" t="n">
        <v>3</v>
      </c>
      <c r="G19" s="25" t="n">
        <v>3</v>
      </c>
      <c r="H19" s="25" t="n">
        <v>3</v>
      </c>
      <c r="I19" s="25" t="n">
        <v>3</v>
      </c>
      <c r="J19" s="25" t="n">
        <v>3</v>
      </c>
      <c r="K19" s="25" t="n">
        <v>3</v>
      </c>
    </row>
    <row r="20" ht="20" customHeight="1">
      <c r="A20" s="61" t="inlineStr">
        <is>
          <t>Plantas</t>
        </is>
      </c>
      <c r="B20" s="51" t="inlineStr">
        <is>
          <t>Existe planta viva e saudável no setor?</t>
        </is>
      </c>
      <c r="D20" s="25" t="n">
        <v>3</v>
      </c>
      <c r="E20" s="25" t="n">
        <v>3</v>
      </c>
      <c r="F20" s="25" t="n">
        <v>3</v>
      </c>
      <c r="G20" s="25" t="n">
        <v>3</v>
      </c>
      <c r="H20" s="25" t="n">
        <v>3</v>
      </c>
      <c r="I20" s="25" t="n">
        <v>3</v>
      </c>
      <c r="J20" s="25" t="n">
        <v>3</v>
      </c>
      <c r="K20" s="25" t="n">
        <v>3</v>
      </c>
    </row>
    <row r="21" ht="20" customHeight="1">
      <c r="A21" s="59" t="inlineStr">
        <is>
          <t>Organização</t>
        </is>
      </c>
      <c r="B21" s="49" t="inlineStr">
        <is>
          <t>O espaço está organizado e sem acúmulo?</t>
        </is>
      </c>
      <c r="D21" s="25" t="n">
        <v>3</v>
      </c>
      <c r="E21" s="25" t="n">
        <v>3</v>
      </c>
      <c r="F21" s="25" t="n">
        <v>3</v>
      </c>
      <c r="G21" s="25" t="n">
        <v>3</v>
      </c>
      <c r="H21" s="25" t="n">
        <v>3</v>
      </c>
      <c r="I21" s="25" t="n">
        <v>3</v>
      </c>
      <c r="J21" s="25" t="n">
        <v>3</v>
      </c>
      <c r="K21" s="25" t="n">
        <v>3</v>
      </c>
    </row>
    <row r="22" ht="20" customHeight="1">
      <c r="A22" s="61" t="inlineStr">
        <is>
          <t>Fluxo</t>
        </is>
      </c>
      <c r="B22" s="51" t="inlineStr">
        <is>
          <t>O chi circula livremente (sem bloqueios de mobília)?</t>
        </is>
      </c>
      <c r="D22" s="25" t="n">
        <v>3</v>
      </c>
      <c r="E22" s="25" t="n">
        <v>3</v>
      </c>
      <c r="F22" s="25" t="n">
        <v>3</v>
      </c>
      <c r="G22" s="25" t="n">
        <v>3</v>
      </c>
      <c r="H22" s="25" t="n">
        <v>3</v>
      </c>
      <c r="I22" s="25" t="n">
        <v>3</v>
      </c>
      <c r="J22" s="25" t="n">
        <v>3</v>
      </c>
      <c r="K22" s="25" t="n">
        <v>3</v>
      </c>
    </row>
    <row r="23" ht="20" customHeight="1">
      <c r="A23" s="59" t="inlineStr">
        <is>
          <t>Cor</t>
        </is>
      </c>
      <c r="B23" s="49" t="inlineStr">
        <is>
          <t>A cor dominante é compatível com o elemento do setor?</t>
        </is>
      </c>
      <c r="D23" s="25" t="n">
        <v>3</v>
      </c>
      <c r="E23" s="25" t="n">
        <v>3</v>
      </c>
      <c r="F23" s="25" t="n">
        <v>3</v>
      </c>
      <c r="G23" s="25" t="n">
        <v>3</v>
      </c>
      <c r="H23" s="25" t="n">
        <v>3</v>
      </c>
      <c r="I23" s="25" t="n">
        <v>3</v>
      </c>
      <c r="J23" s="25" t="n">
        <v>3</v>
      </c>
      <c r="K23" s="25" t="n">
        <v>3</v>
      </c>
    </row>
    <row r="24" ht="20" customHeight="1">
      <c r="A24" s="61" t="inlineStr">
        <is>
          <t>Espelhos</t>
        </is>
      </c>
      <c r="B24" s="51" t="inlineStr">
        <is>
          <t>Espelhos estão posicionados corretamente?</t>
        </is>
      </c>
      <c r="D24" s="25" t="n">
        <v>3</v>
      </c>
      <c r="E24" s="25" t="n">
        <v>3</v>
      </c>
      <c r="F24" s="25" t="n">
        <v>3</v>
      </c>
      <c r="G24" s="25" t="n">
        <v>3</v>
      </c>
      <c r="H24" s="25" t="n">
        <v>3</v>
      </c>
      <c r="I24" s="25" t="n">
        <v>3</v>
      </c>
      <c r="J24" s="25" t="n">
        <v>3</v>
      </c>
      <c r="K24" s="25" t="n">
        <v>3</v>
      </c>
    </row>
    <row r="25" ht="20" customHeight="1">
      <c r="A25" s="59" t="inlineStr">
        <is>
          <t>Porta/Janela</t>
        </is>
      </c>
      <c r="B25" s="49" t="inlineStr">
        <is>
          <t>Porta abre 100%? Janelas funcionam?</t>
        </is>
      </c>
      <c r="D25" s="25" t="n">
        <v>3</v>
      </c>
      <c r="E25" s="25" t="n">
        <v>3</v>
      </c>
      <c r="F25" s="25" t="n">
        <v>3</v>
      </c>
      <c r="G25" s="25" t="n">
        <v>3</v>
      </c>
      <c r="H25" s="25" t="n">
        <v>3</v>
      </c>
      <c r="I25" s="25" t="n">
        <v>3</v>
      </c>
      <c r="J25" s="25" t="n">
        <v>3</v>
      </c>
      <c r="K25" s="25" t="n">
        <v>3</v>
      </c>
    </row>
    <row r="26" ht="20" customHeight="1">
      <c r="A26" s="61" t="inlineStr">
        <is>
          <t>Geometria</t>
        </is>
      </c>
      <c r="B26" s="51" t="inlineStr">
        <is>
          <t>O setor é regular (sem recuos ou saliências problemáticos)?</t>
        </is>
      </c>
      <c r="D26" s="25" t="n">
        <v>3</v>
      </c>
      <c r="E26" s="25" t="n">
        <v>3</v>
      </c>
      <c r="F26" s="25" t="n">
        <v>3</v>
      </c>
      <c r="G26" s="25" t="n">
        <v>3</v>
      </c>
      <c r="H26" s="25" t="n">
        <v>3</v>
      </c>
      <c r="I26" s="25" t="n">
        <v>3</v>
      </c>
      <c r="J26" s="25" t="n">
        <v>3</v>
      </c>
      <c r="K26" s="25" t="n">
        <v>3</v>
      </c>
    </row>
    <row r="27" ht="24" customHeight="1">
      <c r="A27" s="30" t="inlineStr">
        <is>
          <t>TOTAL DO SETOR:</t>
        </is>
      </c>
      <c r="D27" s="52" t="inlineStr"/>
      <c r="E27" s="52" t="inlineStr"/>
      <c r="F27" s="52" t="inlineStr"/>
      <c r="G27" s="52" t="inlineStr"/>
      <c r="H27" s="52" t="inlineStr"/>
      <c r="I27" s="52" t="inlineStr"/>
      <c r="J27" s="52" t="inlineStr"/>
      <c r="K27" s="52" t="inlineStr"/>
      <c r="L27" s="62">
        <f>SUM(D19:K26)</f>
        <v/>
      </c>
      <c r="M27" s="54">
        <f>24</f>
        <v/>
      </c>
      <c r="N27" s="63">
        <f>IF(L27&gt;0,L27/M27,0)</f>
        <v/>
      </c>
    </row>
    <row r="29" ht="24" customHeight="1">
      <c r="A29" s="64" t="inlineStr">
        <is>
          <t>💜 RELACIONAMENTOS</t>
        </is>
      </c>
      <c r="B29" s="65" t="n"/>
      <c r="C29" s="65" t="n"/>
      <c r="D29" s="65" t="n"/>
      <c r="E29" s="65" t="n"/>
      <c r="F29" s="65" t="n"/>
      <c r="G29" s="65" t="n"/>
      <c r="H29" s="65" t="n"/>
      <c r="I29" s="65" t="n"/>
      <c r="J29" s="65" t="n"/>
      <c r="K29" s="65" t="n"/>
      <c r="L29" s="65" t="n"/>
      <c r="M29" s="65" t="n"/>
      <c r="N29" s="66" t="n"/>
    </row>
    <row r="30" ht="18" customHeight="1">
      <c r="A30" s="67" t="inlineStr">
        <is>
          <t>Cômodo(s):</t>
        </is>
      </c>
      <c r="B30" s="68" t="inlineStr">
        <is>
          <t>Suíte 2 + Home Office</t>
        </is>
      </c>
    </row>
    <row r="31" ht="20" customHeight="1">
      <c r="A31" s="67" t="inlineStr">
        <is>
          <t>Iluminação</t>
        </is>
      </c>
      <c r="B31" s="69" t="inlineStr">
        <is>
          <t>O setor tem boa iluminação natural e artificial?</t>
        </is>
      </c>
      <c r="D31" s="25" t="n">
        <v>3</v>
      </c>
      <c r="E31" s="25" t="n">
        <v>3</v>
      </c>
      <c r="F31" s="25" t="n">
        <v>3</v>
      </c>
      <c r="G31" s="25" t="n">
        <v>3</v>
      </c>
      <c r="H31" s="25" t="n">
        <v>3</v>
      </c>
      <c r="I31" s="25" t="n">
        <v>3</v>
      </c>
      <c r="J31" s="25" t="n">
        <v>3</v>
      </c>
      <c r="K31" s="25" t="n">
        <v>3</v>
      </c>
    </row>
    <row r="32" ht="20" customHeight="1">
      <c r="A32" s="70" t="inlineStr">
        <is>
          <t>Plantas</t>
        </is>
      </c>
      <c r="B32" s="51" t="inlineStr">
        <is>
          <t>Existe planta viva e saudável no setor?</t>
        </is>
      </c>
      <c r="D32" s="25" t="n">
        <v>3</v>
      </c>
      <c r="E32" s="25" t="n">
        <v>3</v>
      </c>
      <c r="F32" s="25" t="n">
        <v>3</v>
      </c>
      <c r="G32" s="25" t="n">
        <v>3</v>
      </c>
      <c r="H32" s="25" t="n">
        <v>3</v>
      </c>
      <c r="I32" s="25" t="n">
        <v>3</v>
      </c>
      <c r="J32" s="25" t="n">
        <v>3</v>
      </c>
      <c r="K32" s="25" t="n">
        <v>3</v>
      </c>
    </row>
    <row r="33" ht="20" customHeight="1">
      <c r="A33" s="67" t="inlineStr">
        <is>
          <t>Organização</t>
        </is>
      </c>
      <c r="B33" s="69" t="inlineStr">
        <is>
          <t>O espaço está organizado e sem acúmulo?</t>
        </is>
      </c>
      <c r="D33" s="25" t="n">
        <v>3</v>
      </c>
      <c r="E33" s="25" t="n">
        <v>3</v>
      </c>
      <c r="F33" s="25" t="n">
        <v>3</v>
      </c>
      <c r="G33" s="25" t="n">
        <v>3</v>
      </c>
      <c r="H33" s="25" t="n">
        <v>3</v>
      </c>
      <c r="I33" s="25" t="n">
        <v>3</v>
      </c>
      <c r="J33" s="25" t="n">
        <v>3</v>
      </c>
      <c r="K33" s="25" t="n">
        <v>3</v>
      </c>
    </row>
    <row r="34" ht="20" customHeight="1">
      <c r="A34" s="70" t="inlineStr">
        <is>
          <t>Fluxo</t>
        </is>
      </c>
      <c r="B34" s="51" t="inlineStr">
        <is>
          <t>O chi circula livremente (sem bloqueios de mobília)?</t>
        </is>
      </c>
      <c r="D34" s="25" t="n">
        <v>3</v>
      </c>
      <c r="E34" s="25" t="n">
        <v>3</v>
      </c>
      <c r="F34" s="25" t="n">
        <v>3</v>
      </c>
      <c r="G34" s="25" t="n">
        <v>3</v>
      </c>
      <c r="H34" s="25" t="n">
        <v>3</v>
      </c>
      <c r="I34" s="25" t="n">
        <v>3</v>
      </c>
      <c r="J34" s="25" t="n">
        <v>3</v>
      </c>
      <c r="K34" s="25" t="n">
        <v>3</v>
      </c>
    </row>
    <row r="35" ht="20" customHeight="1">
      <c r="A35" s="67" t="inlineStr">
        <is>
          <t>Cor</t>
        </is>
      </c>
      <c r="B35" s="69" t="inlineStr">
        <is>
          <t>A cor dominante é compatível com o elemento do setor?</t>
        </is>
      </c>
      <c r="D35" s="25" t="n">
        <v>3</v>
      </c>
      <c r="E35" s="25" t="n">
        <v>3</v>
      </c>
      <c r="F35" s="25" t="n">
        <v>3</v>
      </c>
      <c r="G35" s="25" t="n">
        <v>3</v>
      </c>
      <c r="H35" s="25" t="n">
        <v>3</v>
      </c>
      <c r="I35" s="25" t="n">
        <v>3</v>
      </c>
      <c r="J35" s="25" t="n">
        <v>3</v>
      </c>
      <c r="K35" s="25" t="n">
        <v>3</v>
      </c>
    </row>
    <row r="36" ht="20" customHeight="1">
      <c r="A36" s="70" t="inlineStr">
        <is>
          <t>Espelhos</t>
        </is>
      </c>
      <c r="B36" s="51" t="inlineStr">
        <is>
          <t>Espelhos estão posicionados corretamente?</t>
        </is>
      </c>
      <c r="D36" s="25" t="n">
        <v>3</v>
      </c>
      <c r="E36" s="25" t="n">
        <v>3</v>
      </c>
      <c r="F36" s="25" t="n">
        <v>3</v>
      </c>
      <c r="G36" s="25" t="n">
        <v>3</v>
      </c>
      <c r="H36" s="25" t="n">
        <v>3</v>
      </c>
      <c r="I36" s="25" t="n">
        <v>3</v>
      </c>
      <c r="J36" s="25" t="n">
        <v>3</v>
      </c>
      <c r="K36" s="25" t="n">
        <v>3</v>
      </c>
    </row>
    <row r="37" ht="20" customHeight="1">
      <c r="A37" s="67" t="inlineStr">
        <is>
          <t>Porta/Janela</t>
        </is>
      </c>
      <c r="B37" s="69" t="inlineStr">
        <is>
          <t>Porta abre 100%? Janelas funcionam?</t>
        </is>
      </c>
      <c r="D37" s="25" t="n">
        <v>3</v>
      </c>
      <c r="E37" s="25" t="n">
        <v>3</v>
      </c>
      <c r="F37" s="25" t="n">
        <v>3</v>
      </c>
      <c r="G37" s="25" t="n">
        <v>3</v>
      </c>
      <c r="H37" s="25" t="n">
        <v>3</v>
      </c>
      <c r="I37" s="25" t="n">
        <v>3</v>
      </c>
      <c r="J37" s="25" t="n">
        <v>3</v>
      </c>
      <c r="K37" s="25" t="n">
        <v>3</v>
      </c>
    </row>
    <row r="38" ht="20" customHeight="1">
      <c r="A38" s="70" t="inlineStr">
        <is>
          <t>Geometria</t>
        </is>
      </c>
      <c r="B38" s="51" t="inlineStr">
        <is>
          <t>O setor é regular (sem recuos ou saliências problemáticos)?</t>
        </is>
      </c>
      <c r="D38" s="25" t="n">
        <v>3</v>
      </c>
      <c r="E38" s="25" t="n">
        <v>3</v>
      </c>
      <c r="F38" s="25" t="n">
        <v>3</v>
      </c>
      <c r="G38" s="25" t="n">
        <v>3</v>
      </c>
      <c r="H38" s="25" t="n">
        <v>3</v>
      </c>
      <c r="I38" s="25" t="n">
        <v>3</v>
      </c>
      <c r="J38" s="25" t="n">
        <v>3</v>
      </c>
      <c r="K38" s="25" t="n">
        <v>3</v>
      </c>
    </row>
    <row r="39" ht="24" customHeight="1">
      <c r="A39" s="27" t="inlineStr">
        <is>
          <t>TOTAL DO SETOR:</t>
        </is>
      </c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71">
        <f>SUM(D31:K38)</f>
        <v/>
      </c>
      <c r="M39" s="72">
        <f>24</f>
        <v/>
      </c>
      <c r="N39" s="73">
        <f>IF(L39&gt;0,L39/M39,0)</f>
        <v/>
      </c>
    </row>
    <row r="41" ht="24" customHeight="1">
      <c r="A41" s="74" t="inlineStr">
        <is>
          <t>🌿 FAMÍLIA</t>
        </is>
      </c>
      <c r="B41" s="75" t="n"/>
      <c r="C41" s="75" t="n"/>
      <c r="D41" s="75" t="n"/>
      <c r="E41" s="75" t="n"/>
      <c r="F41" s="75" t="n"/>
      <c r="G41" s="75" t="n"/>
      <c r="H41" s="75" t="n"/>
      <c r="I41" s="75" t="n"/>
      <c r="J41" s="75" t="n"/>
      <c r="K41" s="75" t="n"/>
      <c r="L41" s="75" t="n"/>
      <c r="M41" s="75" t="n"/>
      <c r="N41" s="76" t="n"/>
    </row>
    <row r="42" ht="18" customHeight="1">
      <c r="A42" s="77" t="inlineStr">
        <is>
          <t>Cômodo(s):</t>
        </is>
      </c>
      <c r="B42" s="78" t="inlineStr">
        <is>
          <t>Lavanderia + Dorm. Serviço</t>
        </is>
      </c>
    </row>
    <row r="43" ht="20" customHeight="1">
      <c r="A43" s="77" t="inlineStr">
        <is>
          <t>Iluminação</t>
        </is>
      </c>
      <c r="B43" s="79" t="inlineStr">
        <is>
          <t>O setor tem boa iluminação natural e artificial?</t>
        </is>
      </c>
      <c r="D43" s="25" t="n">
        <v>3</v>
      </c>
      <c r="E43" s="25" t="n">
        <v>3</v>
      </c>
      <c r="F43" s="25" t="n">
        <v>3</v>
      </c>
      <c r="G43" s="25" t="n">
        <v>3</v>
      </c>
      <c r="H43" s="25" t="n">
        <v>3</v>
      </c>
      <c r="I43" s="25" t="n">
        <v>3</v>
      </c>
      <c r="J43" s="25" t="n">
        <v>3</v>
      </c>
      <c r="K43" s="25" t="n">
        <v>3</v>
      </c>
    </row>
    <row r="44" ht="20" customHeight="1">
      <c r="A44" s="80" t="inlineStr">
        <is>
          <t>Plantas</t>
        </is>
      </c>
      <c r="B44" s="51" t="inlineStr">
        <is>
          <t>Existe planta viva e saudável no setor?</t>
        </is>
      </c>
      <c r="D44" s="25" t="n">
        <v>3</v>
      </c>
      <c r="E44" s="25" t="n">
        <v>3</v>
      </c>
      <c r="F44" s="25" t="n">
        <v>3</v>
      </c>
      <c r="G44" s="25" t="n">
        <v>3</v>
      </c>
      <c r="H44" s="25" t="n">
        <v>3</v>
      </c>
      <c r="I44" s="25" t="n">
        <v>3</v>
      </c>
      <c r="J44" s="25" t="n">
        <v>3</v>
      </c>
      <c r="K44" s="25" t="n">
        <v>3</v>
      </c>
    </row>
    <row r="45" ht="20" customHeight="1">
      <c r="A45" s="77" t="inlineStr">
        <is>
          <t>Organização</t>
        </is>
      </c>
      <c r="B45" s="79" t="inlineStr">
        <is>
          <t>O espaço está organizado e sem acúmulo?</t>
        </is>
      </c>
      <c r="D45" s="25" t="n">
        <v>3</v>
      </c>
      <c r="E45" s="25" t="n">
        <v>3</v>
      </c>
      <c r="F45" s="25" t="n">
        <v>3</v>
      </c>
      <c r="G45" s="25" t="n">
        <v>3</v>
      </c>
      <c r="H45" s="25" t="n">
        <v>3</v>
      </c>
      <c r="I45" s="25" t="n">
        <v>3</v>
      </c>
      <c r="J45" s="25" t="n">
        <v>3</v>
      </c>
      <c r="K45" s="25" t="n">
        <v>3</v>
      </c>
    </row>
    <row r="46" ht="20" customHeight="1">
      <c r="A46" s="80" t="inlineStr">
        <is>
          <t>Fluxo</t>
        </is>
      </c>
      <c r="B46" s="51" t="inlineStr">
        <is>
          <t>O chi circula livremente (sem bloqueios de mobília)?</t>
        </is>
      </c>
      <c r="D46" s="25" t="n">
        <v>3</v>
      </c>
      <c r="E46" s="25" t="n">
        <v>3</v>
      </c>
      <c r="F46" s="25" t="n">
        <v>3</v>
      </c>
      <c r="G46" s="25" t="n">
        <v>3</v>
      </c>
      <c r="H46" s="25" t="n">
        <v>3</v>
      </c>
      <c r="I46" s="25" t="n">
        <v>3</v>
      </c>
      <c r="J46" s="25" t="n">
        <v>3</v>
      </c>
      <c r="K46" s="25" t="n">
        <v>3</v>
      </c>
    </row>
    <row r="47" ht="20" customHeight="1">
      <c r="A47" s="77" t="inlineStr">
        <is>
          <t>Cor</t>
        </is>
      </c>
      <c r="B47" s="79" t="inlineStr">
        <is>
          <t>A cor dominante é compatível com o elemento do setor?</t>
        </is>
      </c>
      <c r="D47" s="25" t="n">
        <v>3</v>
      </c>
      <c r="E47" s="25" t="n">
        <v>3</v>
      </c>
      <c r="F47" s="25" t="n">
        <v>3</v>
      </c>
      <c r="G47" s="25" t="n">
        <v>3</v>
      </c>
      <c r="H47" s="25" t="n">
        <v>3</v>
      </c>
      <c r="I47" s="25" t="n">
        <v>3</v>
      </c>
      <c r="J47" s="25" t="n">
        <v>3</v>
      </c>
      <c r="K47" s="25" t="n">
        <v>3</v>
      </c>
    </row>
    <row r="48" ht="20" customHeight="1">
      <c r="A48" s="80" t="inlineStr">
        <is>
          <t>Espelhos</t>
        </is>
      </c>
      <c r="B48" s="51" t="inlineStr">
        <is>
          <t>Espelhos estão posicionados corretamente?</t>
        </is>
      </c>
      <c r="D48" s="25" t="n">
        <v>3</v>
      </c>
      <c r="E48" s="25" t="n">
        <v>3</v>
      </c>
      <c r="F48" s="25" t="n">
        <v>3</v>
      </c>
      <c r="G48" s="25" t="n">
        <v>3</v>
      </c>
      <c r="H48" s="25" t="n">
        <v>3</v>
      </c>
      <c r="I48" s="25" t="n">
        <v>3</v>
      </c>
      <c r="J48" s="25" t="n">
        <v>3</v>
      </c>
      <c r="K48" s="25" t="n">
        <v>3</v>
      </c>
    </row>
    <row r="49" ht="20" customHeight="1">
      <c r="A49" s="77" t="inlineStr">
        <is>
          <t>Porta/Janela</t>
        </is>
      </c>
      <c r="B49" s="79" t="inlineStr">
        <is>
          <t>Porta abre 100%? Janelas funcionam?</t>
        </is>
      </c>
      <c r="D49" s="25" t="n">
        <v>3</v>
      </c>
      <c r="E49" s="25" t="n">
        <v>3</v>
      </c>
      <c r="F49" s="25" t="n">
        <v>3</v>
      </c>
      <c r="G49" s="25" t="n">
        <v>3</v>
      </c>
      <c r="H49" s="25" t="n">
        <v>3</v>
      </c>
      <c r="I49" s="25" t="n">
        <v>3</v>
      </c>
      <c r="J49" s="25" t="n">
        <v>3</v>
      </c>
      <c r="K49" s="25" t="n">
        <v>3</v>
      </c>
    </row>
    <row r="50" ht="20" customHeight="1">
      <c r="A50" s="80" t="inlineStr">
        <is>
          <t>Geometria</t>
        </is>
      </c>
      <c r="B50" s="51" t="inlineStr">
        <is>
          <t>O setor é regular (sem recuos ou saliências problemáticos)?</t>
        </is>
      </c>
      <c r="D50" s="25" t="n">
        <v>3</v>
      </c>
      <c r="E50" s="25" t="n">
        <v>3</v>
      </c>
      <c r="F50" s="25" t="n">
        <v>3</v>
      </c>
      <c r="G50" s="25" t="n">
        <v>3</v>
      </c>
      <c r="H50" s="25" t="n">
        <v>3</v>
      </c>
      <c r="I50" s="25" t="n">
        <v>3</v>
      </c>
      <c r="J50" s="25" t="n">
        <v>3</v>
      </c>
      <c r="K50" s="25" t="n">
        <v>3</v>
      </c>
    </row>
    <row r="51" ht="24" customHeight="1">
      <c r="A51" s="29" t="inlineStr">
        <is>
          <t>TOTAL DO SETOR:</t>
        </is>
      </c>
      <c r="D51" s="81" t="inlineStr"/>
      <c r="E51" s="81" t="inlineStr"/>
      <c r="F51" s="81" t="inlineStr"/>
      <c r="G51" s="81" t="inlineStr"/>
      <c r="H51" s="81" t="inlineStr"/>
      <c r="I51" s="81" t="inlineStr"/>
      <c r="J51" s="81" t="inlineStr"/>
      <c r="K51" s="81" t="inlineStr"/>
      <c r="L51" s="82">
        <f>SUM(D43:K50)</f>
        <v/>
      </c>
      <c r="M51" s="83">
        <f>24</f>
        <v/>
      </c>
      <c r="N51" s="84">
        <f>IF(L51&gt;0,L51/M51,0)</f>
        <v/>
      </c>
    </row>
    <row r="53" ht="24" customHeight="1">
      <c r="A53" s="85" t="inlineStr">
        <is>
          <t>🟡 SAÚDE</t>
        </is>
      </c>
      <c r="B53" s="86" t="n"/>
      <c r="C53" s="86" t="n"/>
      <c r="D53" s="86" t="n"/>
      <c r="E53" s="86" t="n"/>
      <c r="F53" s="86" t="n"/>
      <c r="G53" s="86" t="n"/>
      <c r="H53" s="86" t="n"/>
      <c r="I53" s="86" t="n"/>
      <c r="J53" s="86" t="n"/>
      <c r="K53" s="86" t="n"/>
      <c r="L53" s="86" t="n"/>
      <c r="M53" s="86" t="n"/>
      <c r="N53" s="87" t="n"/>
    </row>
    <row r="54" ht="18" customHeight="1">
      <c r="A54" s="88" t="inlineStr">
        <is>
          <t>Cômodo(s):</t>
        </is>
      </c>
      <c r="B54" s="89" t="inlineStr">
        <is>
          <t>Corredor Central</t>
        </is>
      </c>
    </row>
    <row r="55" ht="20" customHeight="1">
      <c r="A55" s="88" t="inlineStr">
        <is>
          <t>Iluminação</t>
        </is>
      </c>
      <c r="B55" s="90" t="inlineStr">
        <is>
          <t>O setor tem boa iluminação natural e artificial?</t>
        </is>
      </c>
      <c r="D55" s="25" t="n">
        <v>3</v>
      </c>
      <c r="E55" s="25" t="n">
        <v>3</v>
      </c>
      <c r="F55" s="25" t="n">
        <v>3</v>
      </c>
      <c r="G55" s="25" t="n">
        <v>3</v>
      </c>
      <c r="H55" s="25" t="n">
        <v>3</v>
      </c>
      <c r="I55" s="25" t="n">
        <v>3</v>
      </c>
      <c r="J55" s="25" t="n">
        <v>3</v>
      </c>
      <c r="K55" s="25" t="n">
        <v>3</v>
      </c>
    </row>
    <row r="56" ht="20" customHeight="1">
      <c r="A56" s="91" t="inlineStr">
        <is>
          <t>Plantas</t>
        </is>
      </c>
      <c r="B56" s="51" t="inlineStr">
        <is>
          <t>Existe planta viva e saudável no setor?</t>
        </is>
      </c>
      <c r="D56" s="25" t="n">
        <v>3</v>
      </c>
      <c r="E56" s="25" t="n">
        <v>3</v>
      </c>
      <c r="F56" s="25" t="n">
        <v>3</v>
      </c>
      <c r="G56" s="25" t="n">
        <v>3</v>
      </c>
      <c r="H56" s="25" t="n">
        <v>3</v>
      </c>
      <c r="I56" s="25" t="n">
        <v>3</v>
      </c>
      <c r="J56" s="25" t="n">
        <v>3</v>
      </c>
      <c r="K56" s="25" t="n">
        <v>3</v>
      </c>
    </row>
    <row r="57" ht="20" customHeight="1">
      <c r="A57" s="88" t="inlineStr">
        <is>
          <t>Organização</t>
        </is>
      </c>
      <c r="B57" s="90" t="inlineStr">
        <is>
          <t>O espaço está organizado e sem acúmulo?</t>
        </is>
      </c>
      <c r="D57" s="25" t="n">
        <v>3</v>
      </c>
      <c r="E57" s="25" t="n">
        <v>3</v>
      </c>
      <c r="F57" s="25" t="n">
        <v>3</v>
      </c>
      <c r="G57" s="25" t="n">
        <v>3</v>
      </c>
      <c r="H57" s="25" t="n">
        <v>3</v>
      </c>
      <c r="I57" s="25" t="n">
        <v>3</v>
      </c>
      <c r="J57" s="25" t="n">
        <v>3</v>
      </c>
      <c r="K57" s="25" t="n">
        <v>3</v>
      </c>
    </row>
    <row r="58" ht="20" customHeight="1">
      <c r="A58" s="91" t="inlineStr">
        <is>
          <t>Fluxo</t>
        </is>
      </c>
      <c r="B58" s="51" t="inlineStr">
        <is>
          <t>O chi circula livremente (sem bloqueios de mobília)?</t>
        </is>
      </c>
      <c r="D58" s="25" t="n">
        <v>3</v>
      </c>
      <c r="E58" s="25" t="n">
        <v>3</v>
      </c>
      <c r="F58" s="25" t="n">
        <v>3</v>
      </c>
      <c r="G58" s="25" t="n">
        <v>3</v>
      </c>
      <c r="H58" s="25" t="n">
        <v>3</v>
      </c>
      <c r="I58" s="25" t="n">
        <v>3</v>
      </c>
      <c r="J58" s="25" t="n">
        <v>3</v>
      </c>
      <c r="K58" s="25" t="n">
        <v>3</v>
      </c>
    </row>
    <row r="59" ht="20" customHeight="1">
      <c r="A59" s="88" t="inlineStr">
        <is>
          <t>Cor</t>
        </is>
      </c>
      <c r="B59" s="90" t="inlineStr">
        <is>
          <t>A cor dominante é compatível com o elemento do setor?</t>
        </is>
      </c>
      <c r="D59" s="25" t="n">
        <v>3</v>
      </c>
      <c r="E59" s="25" t="n">
        <v>3</v>
      </c>
      <c r="F59" s="25" t="n">
        <v>3</v>
      </c>
      <c r="G59" s="25" t="n">
        <v>3</v>
      </c>
      <c r="H59" s="25" t="n">
        <v>3</v>
      </c>
      <c r="I59" s="25" t="n">
        <v>3</v>
      </c>
      <c r="J59" s="25" t="n">
        <v>3</v>
      </c>
      <c r="K59" s="25" t="n">
        <v>3</v>
      </c>
    </row>
    <row r="60" ht="20" customHeight="1">
      <c r="A60" s="91" t="inlineStr">
        <is>
          <t>Espelhos</t>
        </is>
      </c>
      <c r="B60" s="51" t="inlineStr">
        <is>
          <t>Espelhos estão posicionados corretamente?</t>
        </is>
      </c>
      <c r="D60" s="25" t="n">
        <v>3</v>
      </c>
      <c r="E60" s="25" t="n">
        <v>3</v>
      </c>
      <c r="F60" s="25" t="n">
        <v>3</v>
      </c>
      <c r="G60" s="25" t="n">
        <v>3</v>
      </c>
      <c r="H60" s="25" t="n">
        <v>3</v>
      </c>
      <c r="I60" s="25" t="n">
        <v>3</v>
      </c>
      <c r="J60" s="25" t="n">
        <v>3</v>
      </c>
      <c r="K60" s="25" t="n">
        <v>3</v>
      </c>
    </row>
    <row r="61" ht="20" customHeight="1">
      <c r="A61" s="88" t="inlineStr">
        <is>
          <t>Porta/Janela</t>
        </is>
      </c>
      <c r="B61" s="90" t="inlineStr">
        <is>
          <t>Porta abre 100%? Janelas funcionam?</t>
        </is>
      </c>
      <c r="D61" s="25" t="n">
        <v>3</v>
      </c>
      <c r="E61" s="25" t="n">
        <v>3</v>
      </c>
      <c r="F61" s="25" t="n">
        <v>3</v>
      </c>
      <c r="G61" s="25" t="n">
        <v>3</v>
      </c>
      <c r="H61" s="25" t="n">
        <v>3</v>
      </c>
      <c r="I61" s="25" t="n">
        <v>3</v>
      </c>
      <c r="J61" s="25" t="n">
        <v>3</v>
      </c>
      <c r="K61" s="25" t="n">
        <v>3</v>
      </c>
    </row>
    <row r="62" ht="20" customHeight="1">
      <c r="A62" s="91" t="inlineStr">
        <is>
          <t>Geometria</t>
        </is>
      </c>
      <c r="B62" s="51" t="inlineStr">
        <is>
          <t>O setor é regular (sem recuos ou saliências problemáticos)?</t>
        </is>
      </c>
      <c r="D62" s="25" t="n">
        <v>3</v>
      </c>
      <c r="E62" s="25" t="n">
        <v>3</v>
      </c>
      <c r="F62" s="25" t="n">
        <v>3</v>
      </c>
      <c r="G62" s="25" t="n">
        <v>3</v>
      </c>
      <c r="H62" s="25" t="n">
        <v>3</v>
      </c>
      <c r="I62" s="25" t="n">
        <v>3</v>
      </c>
      <c r="J62" s="25" t="n">
        <v>3</v>
      </c>
      <c r="K62" s="25" t="n">
        <v>3</v>
      </c>
    </row>
    <row r="63" ht="24" customHeight="1">
      <c r="A63" s="26" t="inlineStr">
        <is>
          <t>TOTAL DO SETOR:</t>
        </is>
      </c>
      <c r="D63" s="92" t="inlineStr"/>
      <c r="E63" s="92" t="inlineStr"/>
      <c r="F63" s="92" t="inlineStr"/>
      <c r="G63" s="92" t="inlineStr"/>
      <c r="H63" s="92" t="inlineStr"/>
      <c r="I63" s="92" t="inlineStr"/>
      <c r="J63" s="92" t="inlineStr"/>
      <c r="K63" s="92" t="inlineStr"/>
      <c r="L63" s="93">
        <f>SUM(D55:K62)</f>
        <v/>
      </c>
      <c r="M63" s="94">
        <f>24</f>
        <v/>
      </c>
      <c r="N63" s="95">
        <f>IF(L63&gt;0,L63/M63,0)</f>
        <v/>
      </c>
    </row>
    <row r="65" ht="24" customHeight="1">
      <c r="A65" s="96" t="inlineStr">
        <is>
          <t>⭕ CRIATIVIDADE</t>
        </is>
      </c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6" t="n"/>
    </row>
    <row r="66" ht="18" customHeight="1">
      <c r="A66" s="97" t="inlineStr">
        <is>
          <t>Cômodo(s):</t>
        </is>
      </c>
      <c r="B66" s="98" t="inlineStr">
        <is>
          <t>Living + Sala Jantar + Terraço</t>
        </is>
      </c>
    </row>
    <row r="67" ht="20" customHeight="1">
      <c r="A67" s="97" t="inlineStr">
        <is>
          <t>Iluminação</t>
        </is>
      </c>
      <c r="B67" s="99" t="inlineStr">
        <is>
          <t>O setor tem boa iluminação natural e artificial?</t>
        </is>
      </c>
      <c r="D67" s="25" t="n">
        <v>3</v>
      </c>
      <c r="E67" s="25" t="n">
        <v>3</v>
      </c>
      <c r="F67" s="25" t="n">
        <v>3</v>
      </c>
      <c r="G67" s="25" t="n">
        <v>3</v>
      </c>
      <c r="H67" s="25" t="n">
        <v>3</v>
      </c>
      <c r="I67" s="25" t="n">
        <v>3</v>
      </c>
      <c r="J67" s="25" t="n">
        <v>3</v>
      </c>
      <c r="K67" s="25" t="n">
        <v>3</v>
      </c>
    </row>
    <row r="68" ht="20" customHeight="1">
      <c r="A68" s="100" t="inlineStr">
        <is>
          <t>Plantas</t>
        </is>
      </c>
      <c r="B68" s="51" t="inlineStr">
        <is>
          <t>Existe planta viva e saudável no setor?</t>
        </is>
      </c>
      <c r="D68" s="25" t="n">
        <v>3</v>
      </c>
      <c r="E68" s="25" t="n">
        <v>3</v>
      </c>
      <c r="F68" s="25" t="n">
        <v>3</v>
      </c>
      <c r="G68" s="25" t="n">
        <v>3</v>
      </c>
      <c r="H68" s="25" t="n">
        <v>3</v>
      </c>
      <c r="I68" s="25" t="n">
        <v>3</v>
      </c>
      <c r="J68" s="25" t="n">
        <v>3</v>
      </c>
      <c r="K68" s="25" t="n">
        <v>3</v>
      </c>
    </row>
    <row r="69" ht="20" customHeight="1">
      <c r="A69" s="97" t="inlineStr">
        <is>
          <t>Organização</t>
        </is>
      </c>
      <c r="B69" s="99" t="inlineStr">
        <is>
          <t>O espaço está organizado e sem acúmulo?</t>
        </is>
      </c>
      <c r="D69" s="25" t="n">
        <v>3</v>
      </c>
      <c r="E69" s="25" t="n">
        <v>3</v>
      </c>
      <c r="F69" s="25" t="n">
        <v>3</v>
      </c>
      <c r="G69" s="25" t="n">
        <v>3</v>
      </c>
      <c r="H69" s="25" t="n">
        <v>3</v>
      </c>
      <c r="I69" s="25" t="n">
        <v>3</v>
      </c>
      <c r="J69" s="25" t="n">
        <v>3</v>
      </c>
      <c r="K69" s="25" t="n">
        <v>3</v>
      </c>
    </row>
    <row r="70" ht="20" customHeight="1">
      <c r="A70" s="100" t="inlineStr">
        <is>
          <t>Fluxo</t>
        </is>
      </c>
      <c r="B70" s="51" t="inlineStr">
        <is>
          <t>O chi circula livremente (sem bloqueios de mobília)?</t>
        </is>
      </c>
      <c r="D70" s="25" t="n">
        <v>3</v>
      </c>
      <c r="E70" s="25" t="n">
        <v>3</v>
      </c>
      <c r="F70" s="25" t="n">
        <v>3</v>
      </c>
      <c r="G70" s="25" t="n">
        <v>3</v>
      </c>
      <c r="H70" s="25" t="n">
        <v>3</v>
      </c>
      <c r="I70" s="25" t="n">
        <v>3</v>
      </c>
      <c r="J70" s="25" t="n">
        <v>3</v>
      </c>
      <c r="K70" s="25" t="n">
        <v>3</v>
      </c>
    </row>
    <row r="71" ht="20" customHeight="1">
      <c r="A71" s="97" t="inlineStr">
        <is>
          <t>Cor</t>
        </is>
      </c>
      <c r="B71" s="99" t="inlineStr">
        <is>
          <t>A cor dominante é compatível com o elemento do setor?</t>
        </is>
      </c>
      <c r="D71" s="25" t="n">
        <v>3</v>
      </c>
      <c r="E71" s="25" t="n">
        <v>3</v>
      </c>
      <c r="F71" s="25" t="n">
        <v>3</v>
      </c>
      <c r="G71" s="25" t="n">
        <v>3</v>
      </c>
      <c r="H71" s="25" t="n">
        <v>3</v>
      </c>
      <c r="I71" s="25" t="n">
        <v>3</v>
      </c>
      <c r="J71" s="25" t="n">
        <v>3</v>
      </c>
      <c r="K71" s="25" t="n">
        <v>3</v>
      </c>
    </row>
    <row r="72" ht="20" customHeight="1">
      <c r="A72" s="100" t="inlineStr">
        <is>
          <t>Espelhos</t>
        </is>
      </c>
      <c r="B72" s="51" t="inlineStr">
        <is>
          <t>Espelhos estão posicionados corretamente?</t>
        </is>
      </c>
      <c r="D72" s="25" t="n">
        <v>3</v>
      </c>
      <c r="E72" s="25" t="n">
        <v>3</v>
      </c>
      <c r="F72" s="25" t="n">
        <v>3</v>
      </c>
      <c r="G72" s="25" t="n">
        <v>3</v>
      </c>
      <c r="H72" s="25" t="n">
        <v>3</v>
      </c>
      <c r="I72" s="25" t="n">
        <v>3</v>
      </c>
      <c r="J72" s="25" t="n">
        <v>3</v>
      </c>
      <c r="K72" s="25" t="n">
        <v>3</v>
      </c>
    </row>
    <row r="73" ht="20" customHeight="1">
      <c r="A73" s="97" t="inlineStr">
        <is>
          <t>Porta/Janela</t>
        </is>
      </c>
      <c r="B73" s="99" t="inlineStr">
        <is>
          <t>Porta abre 100%? Janelas funcionam?</t>
        </is>
      </c>
      <c r="D73" s="25" t="n">
        <v>3</v>
      </c>
      <c r="E73" s="25" t="n">
        <v>3</v>
      </c>
      <c r="F73" s="25" t="n">
        <v>3</v>
      </c>
      <c r="G73" s="25" t="n">
        <v>3</v>
      </c>
      <c r="H73" s="25" t="n">
        <v>3</v>
      </c>
      <c r="I73" s="25" t="n">
        <v>3</v>
      </c>
      <c r="J73" s="25" t="n">
        <v>3</v>
      </c>
      <c r="K73" s="25" t="n">
        <v>3</v>
      </c>
    </row>
    <row r="74" ht="20" customHeight="1">
      <c r="A74" s="100" t="inlineStr">
        <is>
          <t>Geometria</t>
        </is>
      </c>
      <c r="B74" s="51" t="inlineStr">
        <is>
          <t>O setor é regular (sem recuos ou saliências problemáticos)?</t>
        </is>
      </c>
      <c r="D74" s="25" t="n">
        <v>3</v>
      </c>
      <c r="E74" s="25" t="n">
        <v>3</v>
      </c>
      <c r="F74" s="25" t="n">
        <v>3</v>
      </c>
      <c r="G74" s="25" t="n">
        <v>3</v>
      </c>
      <c r="H74" s="25" t="n">
        <v>3</v>
      </c>
      <c r="I74" s="25" t="n">
        <v>3</v>
      </c>
      <c r="J74" s="25" t="n">
        <v>3</v>
      </c>
      <c r="K74" s="25" t="n">
        <v>3</v>
      </c>
    </row>
    <row r="75" ht="24" customHeight="1">
      <c r="A75" s="28" t="inlineStr">
        <is>
          <t>TOTAL DO SETOR:</t>
        </is>
      </c>
      <c r="D75" s="101" t="inlineStr"/>
      <c r="E75" s="101" t="inlineStr"/>
      <c r="F75" s="101" t="inlineStr"/>
      <c r="G75" s="101" t="inlineStr"/>
      <c r="H75" s="101" t="inlineStr"/>
      <c r="I75" s="101" t="inlineStr"/>
      <c r="J75" s="101" t="inlineStr"/>
      <c r="K75" s="101" t="inlineStr"/>
      <c r="L75" s="102">
        <f>SUM(D67:K74)</f>
        <v/>
      </c>
      <c r="M75" s="103">
        <f>24</f>
        <v/>
      </c>
      <c r="N75" s="104">
        <f>IF(L75&gt;0,L75/M75,0)</f>
        <v/>
      </c>
    </row>
    <row r="77" ht="24" customHeight="1">
      <c r="A77" s="105" t="inlineStr">
        <is>
          <t>📚 CONHECIMENTO</t>
        </is>
      </c>
      <c r="B77" s="106" t="n"/>
      <c r="C77" s="106" t="n"/>
      <c r="D77" s="106" t="n"/>
      <c r="E77" s="106" t="n"/>
      <c r="F77" s="106" t="n"/>
      <c r="G77" s="106" t="n"/>
      <c r="H77" s="106" t="n"/>
      <c r="I77" s="106" t="n"/>
      <c r="J77" s="106" t="n"/>
      <c r="K77" s="106" t="n"/>
      <c r="L77" s="106" t="n"/>
      <c r="M77" s="106" t="n"/>
      <c r="N77" s="107" t="n"/>
    </row>
    <row r="78" ht="18" customHeight="1">
      <c r="A78" s="108" t="inlineStr">
        <is>
          <t>Cômodo(s):</t>
        </is>
      </c>
      <c r="B78" s="109" t="inlineStr">
        <is>
          <t>Entrada de Serviço / Cozinha</t>
        </is>
      </c>
    </row>
    <row r="79" ht="20" customHeight="1">
      <c r="A79" s="108" t="inlineStr">
        <is>
          <t>Iluminação</t>
        </is>
      </c>
      <c r="B79" s="110" t="inlineStr">
        <is>
          <t>O setor tem boa iluminação natural e artificial?</t>
        </is>
      </c>
      <c r="D79" s="25" t="n">
        <v>3</v>
      </c>
      <c r="E79" s="25" t="n">
        <v>3</v>
      </c>
      <c r="F79" s="25" t="n">
        <v>3</v>
      </c>
      <c r="G79" s="25" t="n">
        <v>3</v>
      </c>
      <c r="H79" s="25" t="n">
        <v>3</v>
      </c>
      <c r="I79" s="25" t="n">
        <v>3</v>
      </c>
      <c r="J79" s="25" t="n">
        <v>3</v>
      </c>
      <c r="K79" s="25" t="n">
        <v>3</v>
      </c>
    </row>
    <row r="80" ht="20" customHeight="1">
      <c r="A80" s="111" t="inlineStr">
        <is>
          <t>Plantas</t>
        </is>
      </c>
      <c r="B80" s="51" t="inlineStr">
        <is>
          <t>Existe planta viva e saudável no setor?</t>
        </is>
      </c>
      <c r="D80" s="25" t="n">
        <v>3</v>
      </c>
      <c r="E80" s="25" t="n">
        <v>3</v>
      </c>
      <c r="F80" s="25" t="n">
        <v>3</v>
      </c>
      <c r="G80" s="25" t="n">
        <v>3</v>
      </c>
      <c r="H80" s="25" t="n">
        <v>3</v>
      </c>
      <c r="I80" s="25" t="n">
        <v>3</v>
      </c>
      <c r="J80" s="25" t="n">
        <v>3</v>
      </c>
      <c r="K80" s="25" t="n">
        <v>3</v>
      </c>
    </row>
    <row r="81" ht="20" customHeight="1">
      <c r="A81" s="108" t="inlineStr">
        <is>
          <t>Organização</t>
        </is>
      </c>
      <c r="B81" s="110" t="inlineStr">
        <is>
          <t>O espaço está organizado e sem acúmulo?</t>
        </is>
      </c>
      <c r="D81" s="25" t="n">
        <v>3</v>
      </c>
      <c r="E81" s="25" t="n">
        <v>3</v>
      </c>
      <c r="F81" s="25" t="n">
        <v>3</v>
      </c>
      <c r="G81" s="25" t="n">
        <v>3</v>
      </c>
      <c r="H81" s="25" t="n">
        <v>3</v>
      </c>
      <c r="I81" s="25" t="n">
        <v>3</v>
      </c>
      <c r="J81" s="25" t="n">
        <v>3</v>
      </c>
      <c r="K81" s="25" t="n">
        <v>3</v>
      </c>
    </row>
    <row r="82" ht="20" customHeight="1">
      <c r="A82" s="111" t="inlineStr">
        <is>
          <t>Fluxo</t>
        </is>
      </c>
      <c r="B82" s="51" t="inlineStr">
        <is>
          <t>O chi circula livremente (sem bloqueios de mobília)?</t>
        </is>
      </c>
      <c r="D82" s="25" t="n">
        <v>3</v>
      </c>
      <c r="E82" s="25" t="n">
        <v>3</v>
      </c>
      <c r="F82" s="25" t="n">
        <v>3</v>
      </c>
      <c r="G82" s="25" t="n">
        <v>3</v>
      </c>
      <c r="H82" s="25" t="n">
        <v>3</v>
      </c>
      <c r="I82" s="25" t="n">
        <v>3</v>
      </c>
      <c r="J82" s="25" t="n">
        <v>3</v>
      </c>
      <c r="K82" s="25" t="n">
        <v>3</v>
      </c>
    </row>
    <row r="83" ht="20" customHeight="1">
      <c r="A83" s="108" t="inlineStr">
        <is>
          <t>Cor</t>
        </is>
      </c>
      <c r="B83" s="110" t="inlineStr">
        <is>
          <t>A cor dominante é compatível com o elemento do setor?</t>
        </is>
      </c>
      <c r="D83" s="25" t="n">
        <v>3</v>
      </c>
      <c r="E83" s="25" t="n">
        <v>3</v>
      </c>
      <c r="F83" s="25" t="n">
        <v>3</v>
      </c>
      <c r="G83" s="25" t="n">
        <v>3</v>
      </c>
      <c r="H83" s="25" t="n">
        <v>3</v>
      </c>
      <c r="I83" s="25" t="n">
        <v>3</v>
      </c>
      <c r="J83" s="25" t="n">
        <v>3</v>
      </c>
      <c r="K83" s="25" t="n">
        <v>3</v>
      </c>
    </row>
    <row r="84" ht="20" customHeight="1">
      <c r="A84" s="111" t="inlineStr">
        <is>
          <t>Espelhos</t>
        </is>
      </c>
      <c r="B84" s="51" t="inlineStr">
        <is>
          <t>Espelhos estão posicionados corretamente?</t>
        </is>
      </c>
      <c r="D84" s="25" t="n">
        <v>3</v>
      </c>
      <c r="E84" s="25" t="n">
        <v>3</v>
      </c>
      <c r="F84" s="25" t="n">
        <v>3</v>
      </c>
      <c r="G84" s="25" t="n">
        <v>3</v>
      </c>
      <c r="H84" s="25" t="n">
        <v>3</v>
      </c>
      <c r="I84" s="25" t="n">
        <v>3</v>
      </c>
      <c r="J84" s="25" t="n">
        <v>3</v>
      </c>
      <c r="K84" s="25" t="n">
        <v>3</v>
      </c>
    </row>
    <row r="85" ht="20" customHeight="1">
      <c r="A85" s="108" t="inlineStr">
        <is>
          <t>Porta/Janela</t>
        </is>
      </c>
      <c r="B85" s="110" t="inlineStr">
        <is>
          <t>Porta abre 100%? Janelas funcionam?</t>
        </is>
      </c>
      <c r="D85" s="25" t="n">
        <v>3</v>
      </c>
      <c r="E85" s="25" t="n">
        <v>3</v>
      </c>
      <c r="F85" s="25" t="n">
        <v>3</v>
      </c>
      <c r="G85" s="25" t="n">
        <v>3</v>
      </c>
      <c r="H85" s="25" t="n">
        <v>3</v>
      </c>
      <c r="I85" s="25" t="n">
        <v>3</v>
      </c>
      <c r="J85" s="25" t="n">
        <v>3</v>
      </c>
      <c r="K85" s="25" t="n">
        <v>3</v>
      </c>
    </row>
    <row r="86" ht="20" customHeight="1">
      <c r="A86" s="111" t="inlineStr">
        <is>
          <t>Geometria</t>
        </is>
      </c>
      <c r="B86" s="51" t="inlineStr">
        <is>
          <t>O setor é regular (sem recuos ou saliências problemáticos)?</t>
        </is>
      </c>
      <c r="D86" s="25" t="n">
        <v>3</v>
      </c>
      <c r="E86" s="25" t="n">
        <v>3</v>
      </c>
      <c r="F86" s="25" t="n">
        <v>3</v>
      </c>
      <c r="G86" s="25" t="n">
        <v>3</v>
      </c>
      <c r="H86" s="25" t="n">
        <v>3</v>
      </c>
      <c r="I86" s="25" t="n">
        <v>3</v>
      </c>
      <c r="J86" s="25" t="n">
        <v>3</v>
      </c>
      <c r="K86" s="25" t="n">
        <v>3</v>
      </c>
    </row>
    <row r="87" ht="24" customHeight="1">
      <c r="A87" s="31" t="inlineStr">
        <is>
          <t>TOTAL DO SETOR:</t>
        </is>
      </c>
      <c r="D87" s="112" t="inlineStr"/>
      <c r="E87" s="112" t="inlineStr"/>
      <c r="F87" s="112" t="inlineStr"/>
      <c r="G87" s="112" t="inlineStr"/>
      <c r="H87" s="112" t="inlineStr"/>
      <c r="I87" s="112" t="inlineStr"/>
      <c r="J87" s="112" t="inlineStr"/>
      <c r="K87" s="112" t="inlineStr"/>
      <c r="L87" s="113">
        <f>SUM(D79:K86)</f>
        <v/>
      </c>
      <c r="M87" s="114">
        <f>24</f>
        <v/>
      </c>
      <c r="N87" s="115">
        <f>IF(L87&gt;0,L87/M87,0)</f>
        <v/>
      </c>
    </row>
    <row r="89" ht="24" customHeight="1">
      <c r="A89" s="96" t="inlineStr">
        <is>
          <t>🔵 CARREIRA</t>
        </is>
      </c>
      <c r="B89" s="35" t="n"/>
      <c r="C89" s="35" t="n"/>
      <c r="D89" s="35" t="n"/>
      <c r="E89" s="35" t="n"/>
      <c r="F89" s="35" t="n"/>
      <c r="G89" s="35" t="n"/>
      <c r="H89" s="35" t="n"/>
      <c r="I89" s="35" t="n"/>
      <c r="J89" s="35" t="n"/>
      <c r="K89" s="35" t="n"/>
      <c r="L89" s="35" t="n"/>
      <c r="M89" s="35" t="n"/>
      <c r="N89" s="36" t="n"/>
    </row>
    <row r="90" ht="18" customHeight="1">
      <c r="A90" s="97" t="inlineStr">
        <is>
          <t>Cômodo(s):</t>
        </is>
      </c>
      <c r="B90" s="98" t="inlineStr">
        <is>
          <t>Hall de Entrada + Lavabo</t>
        </is>
      </c>
    </row>
    <row r="91" ht="20" customHeight="1">
      <c r="A91" s="97" t="inlineStr">
        <is>
          <t>Iluminação</t>
        </is>
      </c>
      <c r="B91" s="99" t="inlineStr">
        <is>
          <t>O setor tem boa iluminação natural e artificial?</t>
        </is>
      </c>
      <c r="D91" s="25" t="n">
        <v>3</v>
      </c>
      <c r="E91" s="25" t="n">
        <v>3</v>
      </c>
      <c r="F91" s="25" t="n">
        <v>3</v>
      </c>
      <c r="G91" s="25" t="n">
        <v>3</v>
      </c>
      <c r="H91" s="25" t="n">
        <v>3</v>
      </c>
      <c r="I91" s="25" t="n">
        <v>3</v>
      </c>
      <c r="J91" s="25" t="n">
        <v>3</v>
      </c>
      <c r="K91" s="25" t="n">
        <v>3</v>
      </c>
    </row>
    <row r="92" ht="20" customHeight="1">
      <c r="A92" s="100" t="inlineStr">
        <is>
          <t>Plantas</t>
        </is>
      </c>
      <c r="B92" s="51" t="inlineStr">
        <is>
          <t>Existe planta viva e saudável no setor?</t>
        </is>
      </c>
      <c r="D92" s="25" t="n">
        <v>3</v>
      </c>
      <c r="E92" s="25" t="n">
        <v>3</v>
      </c>
      <c r="F92" s="25" t="n">
        <v>3</v>
      </c>
      <c r="G92" s="25" t="n">
        <v>3</v>
      </c>
      <c r="H92" s="25" t="n">
        <v>3</v>
      </c>
      <c r="I92" s="25" t="n">
        <v>3</v>
      </c>
      <c r="J92" s="25" t="n">
        <v>3</v>
      </c>
      <c r="K92" s="25" t="n">
        <v>3</v>
      </c>
    </row>
    <row r="93" ht="20" customHeight="1">
      <c r="A93" s="97" t="inlineStr">
        <is>
          <t>Organização</t>
        </is>
      </c>
      <c r="B93" s="99" t="inlineStr">
        <is>
          <t>O espaço está organizado e sem acúmulo?</t>
        </is>
      </c>
      <c r="D93" s="25" t="n">
        <v>3</v>
      </c>
      <c r="E93" s="25" t="n">
        <v>3</v>
      </c>
      <c r="F93" s="25" t="n">
        <v>3</v>
      </c>
      <c r="G93" s="25" t="n">
        <v>3</v>
      </c>
      <c r="H93" s="25" t="n">
        <v>3</v>
      </c>
      <c r="I93" s="25" t="n">
        <v>3</v>
      </c>
      <c r="J93" s="25" t="n">
        <v>3</v>
      </c>
      <c r="K93" s="25" t="n">
        <v>3</v>
      </c>
    </row>
    <row r="94" ht="20" customHeight="1">
      <c r="A94" s="100" t="inlineStr">
        <is>
          <t>Fluxo</t>
        </is>
      </c>
      <c r="B94" s="51" t="inlineStr">
        <is>
          <t>O chi circula livremente (sem bloqueios de mobília)?</t>
        </is>
      </c>
      <c r="D94" s="25" t="n">
        <v>3</v>
      </c>
      <c r="E94" s="25" t="n">
        <v>3</v>
      </c>
      <c r="F94" s="25" t="n">
        <v>3</v>
      </c>
      <c r="G94" s="25" t="n">
        <v>3</v>
      </c>
      <c r="H94" s="25" t="n">
        <v>3</v>
      </c>
      <c r="I94" s="25" t="n">
        <v>3</v>
      </c>
      <c r="J94" s="25" t="n">
        <v>3</v>
      </c>
      <c r="K94" s="25" t="n">
        <v>3</v>
      </c>
    </row>
    <row r="95" ht="20" customHeight="1">
      <c r="A95" s="97" t="inlineStr">
        <is>
          <t>Cor</t>
        </is>
      </c>
      <c r="B95" s="99" t="inlineStr">
        <is>
          <t>A cor dominante é compatível com o elemento do setor?</t>
        </is>
      </c>
      <c r="D95" s="25" t="n">
        <v>3</v>
      </c>
      <c r="E95" s="25" t="n">
        <v>3</v>
      </c>
      <c r="F95" s="25" t="n">
        <v>3</v>
      </c>
      <c r="G95" s="25" t="n">
        <v>3</v>
      </c>
      <c r="H95" s="25" t="n">
        <v>3</v>
      </c>
      <c r="I95" s="25" t="n">
        <v>3</v>
      </c>
      <c r="J95" s="25" t="n">
        <v>3</v>
      </c>
      <c r="K95" s="25" t="n">
        <v>3</v>
      </c>
    </row>
    <row r="96" ht="20" customHeight="1">
      <c r="A96" s="100" t="inlineStr">
        <is>
          <t>Espelhos</t>
        </is>
      </c>
      <c r="B96" s="51" t="inlineStr">
        <is>
          <t>Espelhos estão posicionados corretamente?</t>
        </is>
      </c>
      <c r="D96" s="25" t="n">
        <v>3</v>
      </c>
      <c r="E96" s="25" t="n">
        <v>3</v>
      </c>
      <c r="F96" s="25" t="n">
        <v>3</v>
      </c>
      <c r="G96" s="25" t="n">
        <v>3</v>
      </c>
      <c r="H96" s="25" t="n">
        <v>3</v>
      </c>
      <c r="I96" s="25" t="n">
        <v>3</v>
      </c>
      <c r="J96" s="25" t="n">
        <v>3</v>
      </c>
      <c r="K96" s="25" t="n">
        <v>3</v>
      </c>
    </row>
    <row r="97" ht="20" customHeight="1">
      <c r="A97" s="97" t="inlineStr">
        <is>
          <t>Porta/Janela</t>
        </is>
      </c>
      <c r="B97" s="99" t="inlineStr">
        <is>
          <t>Porta abre 100%? Janelas funcionam?</t>
        </is>
      </c>
      <c r="D97" s="25" t="n">
        <v>3</v>
      </c>
      <c r="E97" s="25" t="n">
        <v>3</v>
      </c>
      <c r="F97" s="25" t="n">
        <v>3</v>
      </c>
      <c r="G97" s="25" t="n">
        <v>3</v>
      </c>
      <c r="H97" s="25" t="n">
        <v>3</v>
      </c>
      <c r="I97" s="25" t="n">
        <v>3</v>
      </c>
      <c r="J97" s="25" t="n">
        <v>3</v>
      </c>
      <c r="K97" s="25" t="n">
        <v>3</v>
      </c>
    </row>
    <row r="98" ht="20" customHeight="1">
      <c r="A98" s="100" t="inlineStr">
        <is>
          <t>Geometria</t>
        </is>
      </c>
      <c r="B98" s="51" t="inlineStr">
        <is>
          <t>O setor é regular (sem recuos ou saliências problemáticos)?</t>
        </is>
      </c>
      <c r="D98" s="25" t="n">
        <v>3</v>
      </c>
      <c r="E98" s="25" t="n">
        <v>3</v>
      </c>
      <c r="F98" s="25" t="n">
        <v>3</v>
      </c>
      <c r="G98" s="25" t="n">
        <v>3</v>
      </c>
      <c r="H98" s="25" t="n">
        <v>3</v>
      </c>
      <c r="I98" s="25" t="n">
        <v>3</v>
      </c>
      <c r="J98" s="25" t="n">
        <v>3</v>
      </c>
      <c r="K98" s="25" t="n">
        <v>3</v>
      </c>
    </row>
    <row r="99" ht="24" customHeight="1">
      <c r="A99" s="28" t="inlineStr">
        <is>
          <t>TOTAL DO SETOR:</t>
        </is>
      </c>
      <c r="D99" s="101" t="inlineStr"/>
      <c r="E99" s="101" t="inlineStr"/>
      <c r="F99" s="101" t="inlineStr"/>
      <c r="G99" s="101" t="inlineStr"/>
      <c r="H99" s="101" t="inlineStr"/>
      <c r="I99" s="101" t="inlineStr"/>
      <c r="J99" s="101" t="inlineStr"/>
      <c r="K99" s="101" t="inlineStr"/>
      <c r="L99" s="102">
        <f>SUM(D91:K98)</f>
        <v/>
      </c>
      <c r="M99" s="103">
        <f>24</f>
        <v/>
      </c>
      <c r="N99" s="104">
        <f>IF(L99&gt;0,L99/M99,0)</f>
        <v/>
      </c>
    </row>
    <row r="101" ht="24" customHeight="1">
      <c r="A101" s="116" t="inlineStr">
        <is>
          <t>🤝 AJUDANTES</t>
        </is>
      </c>
      <c r="B101" s="117" t="n"/>
      <c r="C101" s="117" t="n"/>
      <c r="D101" s="117" t="n"/>
      <c r="E101" s="117" t="n"/>
      <c r="F101" s="117" t="n"/>
      <c r="G101" s="117" t="n"/>
      <c r="H101" s="117" t="n"/>
      <c r="I101" s="117" t="n"/>
      <c r="J101" s="117" t="n"/>
      <c r="K101" s="117" t="n"/>
      <c r="L101" s="117" t="n"/>
      <c r="M101" s="117" t="n"/>
      <c r="N101" s="118" t="n"/>
    </row>
    <row r="102" ht="18" customHeight="1">
      <c r="A102" s="119" t="inlineStr">
        <is>
          <t>Cômodo(s):</t>
        </is>
      </c>
      <c r="B102" s="120" t="inlineStr">
        <is>
          <t>Área de Acesso / Garagem</t>
        </is>
      </c>
    </row>
    <row r="103" ht="20" customHeight="1">
      <c r="A103" s="119" t="inlineStr">
        <is>
          <t>Iluminação</t>
        </is>
      </c>
      <c r="B103" s="121" t="inlineStr">
        <is>
          <t>O setor tem boa iluminação natural e artificial?</t>
        </is>
      </c>
      <c r="D103" s="25" t="n">
        <v>3</v>
      </c>
      <c r="E103" s="25" t="n">
        <v>3</v>
      </c>
      <c r="F103" s="25" t="n">
        <v>3</v>
      </c>
      <c r="G103" s="25" t="n">
        <v>3</v>
      </c>
      <c r="H103" s="25" t="n">
        <v>3</v>
      </c>
      <c r="I103" s="25" t="n">
        <v>3</v>
      </c>
      <c r="J103" s="25" t="n">
        <v>3</v>
      </c>
      <c r="K103" s="25" t="n">
        <v>3</v>
      </c>
    </row>
    <row r="104" ht="20" customHeight="1">
      <c r="A104" s="122" t="inlineStr">
        <is>
          <t>Plantas</t>
        </is>
      </c>
      <c r="B104" s="51" t="inlineStr">
        <is>
          <t>Existe planta viva e saudável no setor?</t>
        </is>
      </c>
      <c r="D104" s="25" t="n">
        <v>3</v>
      </c>
      <c r="E104" s="25" t="n">
        <v>3</v>
      </c>
      <c r="F104" s="25" t="n">
        <v>3</v>
      </c>
      <c r="G104" s="25" t="n">
        <v>3</v>
      </c>
      <c r="H104" s="25" t="n">
        <v>3</v>
      </c>
      <c r="I104" s="25" t="n">
        <v>3</v>
      </c>
      <c r="J104" s="25" t="n">
        <v>3</v>
      </c>
      <c r="K104" s="25" t="n">
        <v>3</v>
      </c>
    </row>
    <row r="105" ht="20" customHeight="1">
      <c r="A105" s="119" t="inlineStr">
        <is>
          <t>Organização</t>
        </is>
      </c>
      <c r="B105" s="121" t="inlineStr">
        <is>
          <t>O espaço está organizado e sem acúmulo?</t>
        </is>
      </c>
      <c r="D105" s="25" t="n">
        <v>3</v>
      </c>
      <c r="E105" s="25" t="n">
        <v>3</v>
      </c>
      <c r="F105" s="25" t="n">
        <v>3</v>
      </c>
      <c r="G105" s="25" t="n">
        <v>3</v>
      </c>
      <c r="H105" s="25" t="n">
        <v>3</v>
      </c>
      <c r="I105" s="25" t="n">
        <v>3</v>
      </c>
      <c r="J105" s="25" t="n">
        <v>3</v>
      </c>
      <c r="K105" s="25" t="n">
        <v>3</v>
      </c>
    </row>
    <row r="106" ht="20" customHeight="1">
      <c r="A106" s="122" t="inlineStr">
        <is>
          <t>Fluxo</t>
        </is>
      </c>
      <c r="B106" s="51" t="inlineStr">
        <is>
          <t>O chi circula livremente (sem bloqueios de mobília)?</t>
        </is>
      </c>
      <c r="D106" s="25" t="n">
        <v>3</v>
      </c>
      <c r="E106" s="25" t="n">
        <v>3</v>
      </c>
      <c r="F106" s="25" t="n">
        <v>3</v>
      </c>
      <c r="G106" s="25" t="n">
        <v>3</v>
      </c>
      <c r="H106" s="25" t="n">
        <v>3</v>
      </c>
      <c r="I106" s="25" t="n">
        <v>3</v>
      </c>
      <c r="J106" s="25" t="n">
        <v>3</v>
      </c>
      <c r="K106" s="25" t="n">
        <v>3</v>
      </c>
    </row>
    <row r="107" ht="20" customHeight="1">
      <c r="A107" s="119" t="inlineStr">
        <is>
          <t>Cor</t>
        </is>
      </c>
      <c r="B107" s="121" t="inlineStr">
        <is>
          <t>A cor dominante é compatível com o elemento do setor?</t>
        </is>
      </c>
      <c r="D107" s="25" t="n">
        <v>3</v>
      </c>
      <c r="E107" s="25" t="n">
        <v>3</v>
      </c>
      <c r="F107" s="25" t="n">
        <v>3</v>
      </c>
      <c r="G107" s="25" t="n">
        <v>3</v>
      </c>
      <c r="H107" s="25" t="n">
        <v>3</v>
      </c>
      <c r="I107" s="25" t="n">
        <v>3</v>
      </c>
      <c r="J107" s="25" t="n">
        <v>3</v>
      </c>
      <c r="K107" s="25" t="n">
        <v>3</v>
      </c>
    </row>
    <row r="108" ht="20" customHeight="1">
      <c r="A108" s="122" t="inlineStr">
        <is>
          <t>Espelhos</t>
        </is>
      </c>
      <c r="B108" s="51" t="inlineStr">
        <is>
          <t>Espelhos estão posicionados corretamente?</t>
        </is>
      </c>
      <c r="D108" s="25" t="n">
        <v>3</v>
      </c>
      <c r="E108" s="25" t="n">
        <v>3</v>
      </c>
      <c r="F108" s="25" t="n">
        <v>3</v>
      </c>
      <c r="G108" s="25" t="n">
        <v>3</v>
      </c>
      <c r="H108" s="25" t="n">
        <v>3</v>
      </c>
      <c r="I108" s="25" t="n">
        <v>3</v>
      </c>
      <c r="J108" s="25" t="n">
        <v>3</v>
      </c>
      <c r="K108" s="25" t="n">
        <v>3</v>
      </c>
    </row>
    <row r="109" ht="20" customHeight="1">
      <c r="A109" s="119" t="inlineStr">
        <is>
          <t>Porta/Janela</t>
        </is>
      </c>
      <c r="B109" s="121" t="inlineStr">
        <is>
          <t>Porta abre 100%? Janelas funcionam?</t>
        </is>
      </c>
      <c r="D109" s="25" t="n">
        <v>3</v>
      </c>
      <c r="E109" s="25" t="n">
        <v>3</v>
      </c>
      <c r="F109" s="25" t="n">
        <v>3</v>
      </c>
      <c r="G109" s="25" t="n">
        <v>3</v>
      </c>
      <c r="H109" s="25" t="n">
        <v>3</v>
      </c>
      <c r="I109" s="25" t="n">
        <v>3</v>
      </c>
      <c r="J109" s="25" t="n">
        <v>3</v>
      </c>
      <c r="K109" s="25" t="n">
        <v>3</v>
      </c>
    </row>
    <row r="110" ht="20" customHeight="1">
      <c r="A110" s="122" t="inlineStr">
        <is>
          <t>Geometria</t>
        </is>
      </c>
      <c r="B110" s="51" t="inlineStr">
        <is>
          <t>O setor é regular (sem recuos ou saliências problemáticos)?</t>
        </is>
      </c>
      <c r="D110" s="25" t="n">
        <v>3</v>
      </c>
      <c r="E110" s="25" t="n">
        <v>3</v>
      </c>
      <c r="F110" s="25" t="n">
        <v>3</v>
      </c>
      <c r="G110" s="25" t="n">
        <v>3</v>
      </c>
      <c r="H110" s="25" t="n">
        <v>3</v>
      </c>
      <c r="I110" s="25" t="n">
        <v>3</v>
      </c>
      <c r="J110" s="25" t="n">
        <v>3</v>
      </c>
      <c r="K110" s="25" t="n">
        <v>3</v>
      </c>
    </row>
    <row r="111" ht="24" customHeight="1">
      <c r="A111" s="32" t="inlineStr">
        <is>
          <t>TOTAL DO SETOR:</t>
        </is>
      </c>
      <c r="D111" s="123" t="inlineStr"/>
      <c r="E111" s="123" t="inlineStr"/>
      <c r="F111" s="123" t="inlineStr"/>
      <c r="G111" s="123" t="inlineStr"/>
      <c r="H111" s="123" t="inlineStr"/>
      <c r="I111" s="123" t="inlineStr"/>
      <c r="J111" s="123" t="inlineStr"/>
      <c r="K111" s="123" t="inlineStr"/>
      <c r="L111" s="124">
        <f>SUM(D103:K110)</f>
        <v/>
      </c>
      <c r="M111" s="125">
        <f>24</f>
        <v/>
      </c>
      <c r="N111" s="126">
        <f>IF(L111&gt;0,L111/M111,0)</f>
        <v/>
      </c>
    </row>
  </sheetData>
  <mergeCells count="101">
    <mergeCell ref="B91:C91"/>
    <mergeCell ref="B22:C22"/>
    <mergeCell ref="B93:C93"/>
    <mergeCell ref="B31:C31"/>
    <mergeCell ref="B12:C12"/>
    <mergeCell ref="B21:C21"/>
    <mergeCell ref="B86:C86"/>
    <mergeCell ref="B67:C67"/>
    <mergeCell ref="B61:C61"/>
    <mergeCell ref="B14:C14"/>
    <mergeCell ref="A89:N89"/>
    <mergeCell ref="B13:C13"/>
    <mergeCell ref="B69:C69"/>
    <mergeCell ref="B38:C38"/>
    <mergeCell ref="B102:N102"/>
    <mergeCell ref="B49:C49"/>
    <mergeCell ref="B55:C55"/>
    <mergeCell ref="B24:C24"/>
    <mergeCell ref="B33:C33"/>
    <mergeCell ref="B104:C104"/>
    <mergeCell ref="B51:C51"/>
    <mergeCell ref="B32:C32"/>
    <mergeCell ref="B78:N78"/>
    <mergeCell ref="B63:C63"/>
    <mergeCell ref="B26:C26"/>
    <mergeCell ref="B35:C35"/>
    <mergeCell ref="B106:C106"/>
    <mergeCell ref="A77:N77"/>
    <mergeCell ref="B25:C25"/>
    <mergeCell ref="B27:C27"/>
    <mergeCell ref="B11:C11"/>
    <mergeCell ref="A65:N65"/>
    <mergeCell ref="B66:N66"/>
    <mergeCell ref="B103:C103"/>
    <mergeCell ref="B37:C37"/>
    <mergeCell ref="B84:C84"/>
    <mergeCell ref="A5:N5"/>
    <mergeCell ref="B15:C15"/>
    <mergeCell ref="B80:C80"/>
    <mergeCell ref="B95:C95"/>
    <mergeCell ref="B79:C79"/>
    <mergeCell ref="B97:C97"/>
    <mergeCell ref="B7:C7"/>
    <mergeCell ref="B72:C72"/>
    <mergeCell ref="B81:C81"/>
    <mergeCell ref="B56:C56"/>
    <mergeCell ref="B71:C71"/>
    <mergeCell ref="B96:C96"/>
    <mergeCell ref="B105:C105"/>
    <mergeCell ref="B43:C43"/>
    <mergeCell ref="B58:C58"/>
    <mergeCell ref="B98:C98"/>
    <mergeCell ref="B107:C107"/>
    <mergeCell ref="B60:C60"/>
    <mergeCell ref="B57:C57"/>
    <mergeCell ref="B82:C82"/>
    <mergeCell ref="B90:N90"/>
    <mergeCell ref="B44:C44"/>
    <mergeCell ref="B19:C19"/>
    <mergeCell ref="B34:C34"/>
    <mergeCell ref="B18:N18"/>
    <mergeCell ref="B99:C99"/>
    <mergeCell ref="B108:C108"/>
    <mergeCell ref="B9:C9"/>
    <mergeCell ref="A1:K2"/>
    <mergeCell ref="B83:C83"/>
    <mergeCell ref="B42:N42"/>
    <mergeCell ref="B92:C92"/>
    <mergeCell ref="B20:C20"/>
    <mergeCell ref="A29:N29"/>
    <mergeCell ref="B45:C45"/>
    <mergeCell ref="B85:C85"/>
    <mergeCell ref="B94:C94"/>
    <mergeCell ref="B75:C75"/>
    <mergeCell ref="B109:C109"/>
    <mergeCell ref="B47:C47"/>
    <mergeCell ref="B62:C62"/>
    <mergeCell ref="B59:C59"/>
    <mergeCell ref="B46:C46"/>
    <mergeCell ref="B30:N30"/>
    <mergeCell ref="B6:N6"/>
    <mergeCell ref="B39:C39"/>
    <mergeCell ref="B70:C70"/>
    <mergeCell ref="B48:C48"/>
    <mergeCell ref="B111:C111"/>
    <mergeCell ref="B23:C23"/>
    <mergeCell ref="A41:N41"/>
    <mergeCell ref="B8:C8"/>
    <mergeCell ref="B54:N54"/>
    <mergeCell ref="B73:C73"/>
    <mergeCell ref="B87:C87"/>
    <mergeCell ref="A3:K3"/>
    <mergeCell ref="A101:N101"/>
    <mergeCell ref="B10:C10"/>
    <mergeCell ref="A17:N17"/>
    <mergeCell ref="B74:C74"/>
    <mergeCell ref="B68:C68"/>
    <mergeCell ref="A53:N53"/>
    <mergeCell ref="B36:C36"/>
    <mergeCell ref="B50:C50"/>
    <mergeCell ref="B110:C1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10" customWidth="1" min="4" max="4"/>
    <col width="10" customWidth="1" min="5" max="5"/>
    <col width="12" customWidth="1" min="6" max="6"/>
    <col width="20" customWidth="1" min="7" max="7"/>
    <col width="18" customWidth="1" min="8" max="8"/>
  </cols>
  <sheetData>
    <row r="1" ht="30" customHeight="1">
      <c r="A1" s="19" t="inlineStr">
        <is>
          <t>📊  SCORE ENERGÉTICO — Semáforo de Setores</t>
        </is>
      </c>
    </row>
    <row r="2"/>
    <row r="3" ht="22" customHeight="1">
      <c r="A3" s="127" t="inlineStr">
        <is>
          <t>Pontuação automática baseada no Diagnóstico. Scores são atualizados ao preencher a aba 🔍 Diagnóstico.</t>
        </is>
      </c>
    </row>
    <row r="5" ht="24" customHeight="1">
      <c r="A5" s="20" t="inlineStr">
        <is>
          <t>🚦 LEGENDA DO SEMÁFORO</t>
        </is>
      </c>
      <c r="B5" s="21" t="n"/>
      <c r="C5" s="21" t="n"/>
      <c r="D5" s="21" t="n"/>
      <c r="E5" s="21" t="n"/>
      <c r="F5" s="21" t="n"/>
      <c r="G5" s="21" t="n"/>
      <c r="H5" s="22" t="n"/>
    </row>
    <row r="6" ht="22" customHeight="1">
      <c r="A6" s="128" t="inlineStr">
        <is>
          <t>🟢 80-100%</t>
        </is>
      </c>
      <c r="B6" s="129" t="inlineStr">
        <is>
          <t>EXCELENTE — Setor forte, apenas manutenção</t>
        </is>
      </c>
    </row>
    <row r="7" ht="22" customHeight="1">
      <c r="A7" s="37" t="inlineStr">
        <is>
          <t>🟡 60-79%</t>
        </is>
      </c>
      <c r="B7" s="130" t="inlineStr">
        <is>
          <t>BOM — Algumas melhorias recomendadas</t>
        </is>
      </c>
    </row>
    <row r="8" ht="22" customHeight="1">
      <c r="A8" s="131" t="inlineStr">
        <is>
          <t>🟠 40-59%</t>
        </is>
      </c>
      <c r="B8" s="132" t="inlineStr">
        <is>
          <t>ATENÇÃO — Intervenção necessária</t>
        </is>
      </c>
    </row>
    <row r="9" ht="22" customHeight="1">
      <c r="A9" s="133" t="inlineStr">
        <is>
          <t>🔴 0-39%</t>
        </is>
      </c>
      <c r="B9" s="134" t="inlineStr">
        <is>
          <t>CRÍTICO — Prioridade máxima de ativação</t>
        </is>
      </c>
    </row>
    <row r="11" ht="24" customHeight="1">
      <c r="A11" s="20" t="inlineStr">
        <is>
          <t>📈 SCORES POR SETOR</t>
        </is>
      </c>
      <c r="B11" s="21" t="n"/>
      <c r="C11" s="21" t="n"/>
      <c r="D11" s="21" t="n"/>
      <c r="E11" s="21" t="n"/>
      <c r="F11" s="21" t="n"/>
      <c r="G11" s="21" t="n"/>
      <c r="H11" s="22" t="n"/>
    </row>
    <row r="12" ht="22" customHeight="1">
      <c r="A12" s="4" t="inlineStr">
        <is>
          <t>Setor</t>
        </is>
      </c>
      <c r="B12" s="4" t="inlineStr">
        <is>
          <t>Elemento</t>
        </is>
      </c>
      <c r="C12" s="4" t="inlineStr">
        <is>
          <t>Cor Ideal</t>
        </is>
      </c>
      <c r="D12" s="4" t="inlineStr">
        <is>
          <t>Score</t>
        </is>
      </c>
      <c r="E12" s="4" t="inlineStr">
        <is>
          <t>Máximo</t>
        </is>
      </c>
      <c r="F12" s="4" t="inlineStr">
        <is>
          <t>% Saúde</t>
        </is>
      </c>
      <c r="G12" s="4" t="inlineStr">
        <is>
          <t>Status</t>
        </is>
      </c>
      <c r="H12" s="4" t="inlineStr">
        <is>
          <t>Prioridade</t>
        </is>
      </c>
    </row>
    <row r="13" ht="22" customHeight="1">
      <c r="A13" s="135" t="inlineStr">
        <is>
          <t>🔴 Prosperidade</t>
        </is>
      </c>
      <c r="B13" s="8" t="inlineStr">
        <is>
          <t>Madeira + Metal</t>
        </is>
      </c>
      <c r="C13" s="8" t="inlineStr">
        <is>
          <t>Roxo / Dourado</t>
        </is>
      </c>
      <c r="D13" s="136" t="n">
        <v>0</v>
      </c>
      <c r="E13" s="137" t="n">
        <v>24</v>
      </c>
      <c r="F13" s="138">
        <f>IF(E13&gt;0,D13/E13,0)</f>
        <v/>
      </c>
      <c r="G13" s="25">
        <f>IF(F13&gt;=0.8,"🟢 Excelente",IF(F13&gt;=0.6,"🟡 Bom",IF(F13&gt;=0.4,"🟠 Atenção","🔴 Crítico")))</f>
        <v/>
      </c>
      <c r="H13" s="25">
        <f>IF(F13&lt;0.4,"🔴 URGENTE",IF(F13&lt;0.6,"🟠 ALTA",IF(F13&lt;0.8,"🟡 MÉDIA","🟢 BAIXA")))</f>
        <v/>
      </c>
    </row>
    <row r="14" ht="22" customHeight="1">
      <c r="A14" s="139" t="inlineStr">
        <is>
          <t>🔥 Fama</t>
        </is>
      </c>
      <c r="B14" s="140" t="inlineStr">
        <is>
          <t>Fogo</t>
        </is>
      </c>
      <c r="C14" s="140" t="inlineStr">
        <is>
          <t>Vermelho / Coral</t>
        </is>
      </c>
      <c r="D14" s="136" t="n">
        <v>0</v>
      </c>
      <c r="E14" s="137" t="n">
        <v>24</v>
      </c>
      <c r="F14" s="138">
        <f>IF(E14&gt;0,D14/E14,0)</f>
        <v/>
      </c>
      <c r="G14" s="25">
        <f>IF(F14&gt;=0.8,"🟢 Excelente",IF(F14&gt;=0.6,"🟡 Bom",IF(F14&gt;=0.4,"🟠 Atenção","🔴 Crítico")))</f>
        <v/>
      </c>
      <c r="H14" s="25">
        <f>IF(F14&lt;0.4,"🔴 URGENTE",IF(F14&lt;0.6,"🟠 ALTA",IF(F14&lt;0.8,"🟡 MÉDIA","🟢 BAIXA")))</f>
        <v/>
      </c>
    </row>
    <row r="15" ht="22" customHeight="1">
      <c r="A15" s="135" t="inlineStr">
        <is>
          <t>💜 Relacionamentos</t>
        </is>
      </c>
      <c r="B15" s="8" t="inlineStr">
        <is>
          <t>Terra</t>
        </is>
      </c>
      <c r="C15" s="8" t="inlineStr">
        <is>
          <t>Rosa / Terracota</t>
        </is>
      </c>
      <c r="D15" s="136" t="n">
        <v>0</v>
      </c>
      <c r="E15" s="137" t="n">
        <v>24</v>
      </c>
      <c r="F15" s="138">
        <f>IF(E15&gt;0,D15/E15,0)</f>
        <v/>
      </c>
      <c r="G15" s="25">
        <f>IF(F15&gt;=0.8,"🟢 Excelente",IF(F15&gt;=0.6,"🟡 Bom",IF(F15&gt;=0.4,"🟠 Atenção","🔴 Crítico")))</f>
        <v/>
      </c>
      <c r="H15" s="25">
        <f>IF(F15&lt;0.4,"🔴 URGENTE",IF(F15&lt;0.6,"🟠 ALTA",IF(F15&lt;0.8,"🟡 MÉDIA","🟢 BAIXA")))</f>
        <v/>
      </c>
    </row>
    <row r="16" ht="22" customHeight="1">
      <c r="A16" s="141" t="inlineStr">
        <is>
          <t>🌿 Família</t>
        </is>
      </c>
      <c r="B16" s="142" t="inlineStr">
        <is>
          <t>Madeira</t>
        </is>
      </c>
      <c r="C16" s="142" t="inlineStr">
        <is>
          <t>Verde</t>
        </is>
      </c>
      <c r="D16" s="136" t="n">
        <v>0</v>
      </c>
      <c r="E16" s="137" t="n">
        <v>24</v>
      </c>
      <c r="F16" s="138">
        <f>IF(E16&gt;0,D16/E16,0)</f>
        <v/>
      </c>
      <c r="G16" s="25">
        <f>IF(F16&gt;=0.8,"🟢 Excelente",IF(F16&gt;=0.6,"🟡 Bom",IF(F16&gt;=0.4,"🟠 Atenção","🔴 Crítico")))</f>
        <v/>
      </c>
      <c r="H16" s="25">
        <f>IF(F16&lt;0.4,"🔴 URGENTE",IF(F16&lt;0.6,"🟠 ALTA",IF(F16&lt;0.8,"🟡 MÉDIA","🟢 BAIXA")))</f>
        <v/>
      </c>
    </row>
    <row r="17" ht="22" customHeight="1">
      <c r="A17" s="13" t="inlineStr">
        <is>
          <t>🟡 Saúde</t>
        </is>
      </c>
      <c r="B17" s="15" t="inlineStr">
        <is>
          <t>Terra</t>
        </is>
      </c>
      <c r="C17" s="15" t="inlineStr">
        <is>
          <t>Amarelo / Bege</t>
        </is>
      </c>
      <c r="D17" s="136" t="n">
        <v>0</v>
      </c>
      <c r="E17" s="137" t="n">
        <v>24</v>
      </c>
      <c r="F17" s="138">
        <f>IF(E17&gt;0,D17/E17,0)</f>
        <v/>
      </c>
      <c r="G17" s="25">
        <f>IF(F17&gt;=0.8,"🟢 Excelente",IF(F17&gt;=0.6,"🟡 Bom",IF(F17&gt;=0.4,"🟠 Atenção","🔴 Crítico")))</f>
        <v/>
      </c>
      <c r="H17" s="25">
        <f>IF(F17&lt;0.4,"🔴 URGENTE",IF(F17&lt;0.6,"🟠 ALTA",IF(F17&lt;0.8,"🟡 MÉDIA","🟢 BAIXA")))</f>
        <v/>
      </c>
    </row>
    <row r="18" ht="22" customHeight="1">
      <c r="A18" s="143" t="inlineStr">
        <is>
          <t>⭕ Criatividade</t>
        </is>
      </c>
      <c r="B18" s="144" t="inlineStr">
        <is>
          <t>Metal</t>
        </is>
      </c>
      <c r="C18" s="144" t="inlineStr">
        <is>
          <t>Branco / Dourado</t>
        </is>
      </c>
      <c r="D18" s="136" t="n">
        <v>0</v>
      </c>
      <c r="E18" s="137" t="n">
        <v>24</v>
      </c>
      <c r="F18" s="138">
        <f>IF(E18&gt;0,D18/E18,0)</f>
        <v/>
      </c>
      <c r="G18" s="25">
        <f>IF(F18&gt;=0.8,"🟢 Excelente",IF(F18&gt;=0.6,"🟡 Bom",IF(F18&gt;=0.4,"🟠 Atenção","🔴 Crítico")))</f>
        <v/>
      </c>
      <c r="H18" s="25">
        <f>IF(F18&lt;0.4,"🔴 URGENTE",IF(F18&lt;0.6,"🟠 ALTA",IF(F18&lt;0.8,"🟡 MÉDIA","🟢 BAIXA")))</f>
        <v/>
      </c>
    </row>
    <row r="19" ht="22" customHeight="1">
      <c r="A19" s="145" t="inlineStr">
        <is>
          <t>📚 Conhecimento</t>
        </is>
      </c>
      <c r="B19" s="112" t="inlineStr">
        <is>
          <t>Terra + Água</t>
        </is>
      </c>
      <c r="C19" s="112" t="inlineStr">
        <is>
          <t>Azul-verde escuro</t>
        </is>
      </c>
      <c r="D19" s="136" t="n">
        <v>0</v>
      </c>
      <c r="E19" s="137" t="n">
        <v>24</v>
      </c>
      <c r="F19" s="138">
        <f>IF(E19&gt;0,D19/E19,0)</f>
        <v/>
      </c>
      <c r="G19" s="25">
        <f>IF(F19&gt;=0.8,"🟢 Excelente",IF(F19&gt;=0.6,"🟡 Bom",IF(F19&gt;=0.4,"🟠 Atenção","🔴 Crítico")))</f>
        <v/>
      </c>
      <c r="H19" s="25">
        <f>IF(F19&lt;0.4,"🔴 URGENTE",IF(F19&lt;0.6,"🟠 ALTA",IF(F19&lt;0.8,"🟡 MÉDIA","🟢 BAIXA")))</f>
        <v/>
      </c>
    </row>
    <row r="20" ht="22" customHeight="1">
      <c r="A20" s="143" t="inlineStr">
        <is>
          <t>🔵 Carreira</t>
        </is>
      </c>
      <c r="B20" s="144" t="inlineStr">
        <is>
          <t>Água</t>
        </is>
      </c>
      <c r="C20" s="144" t="inlineStr">
        <is>
          <t>Azul-escuro / Preto</t>
        </is>
      </c>
      <c r="D20" s="136" t="n">
        <v>0</v>
      </c>
      <c r="E20" s="137" t="n">
        <v>24</v>
      </c>
      <c r="F20" s="138">
        <f>IF(E20&gt;0,D20/E20,0)</f>
        <v/>
      </c>
      <c r="G20" s="25">
        <f>IF(F20&gt;=0.8,"🟢 Excelente",IF(F20&gt;=0.6,"🟡 Bom",IF(F20&gt;=0.4,"🟠 Atenção","🔴 Crítico")))</f>
        <v/>
      </c>
      <c r="H20" s="25">
        <f>IF(F20&lt;0.4,"🔴 URGENTE",IF(F20&lt;0.6,"🟠 ALTA",IF(F20&lt;0.8,"🟡 MÉDIA","🟢 BAIXA")))</f>
        <v/>
      </c>
    </row>
    <row r="21" ht="22" customHeight="1">
      <c r="A21" s="146" t="inlineStr">
        <is>
          <t>🤝 Ajudantes</t>
        </is>
      </c>
      <c r="B21" s="147" t="inlineStr">
        <is>
          <t>Metal + Água</t>
        </is>
      </c>
      <c r="C21" s="147" t="inlineStr">
        <is>
          <t>Cinza / Dourado</t>
        </is>
      </c>
      <c r="D21" s="136" t="n">
        <v>0</v>
      </c>
      <c r="E21" s="137" t="n">
        <v>24</v>
      </c>
      <c r="F21" s="138">
        <f>IF(E21&gt;0,D21/E21,0)</f>
        <v/>
      </c>
      <c r="G21" s="25">
        <f>IF(F21&gt;=0.8,"🟢 Excelente",IF(F21&gt;=0.6,"🟡 Bom",IF(F21&gt;=0.4,"🟠 Atenção","🔴 Crítico")))</f>
        <v/>
      </c>
      <c r="H21" s="25">
        <f>IF(F21&lt;0.4,"🔴 URGENTE",IF(F21&lt;0.6,"🟠 ALTA",IF(F21&lt;0.8,"🟡 MÉDIA","🟢 BAIXA")))</f>
        <v/>
      </c>
    </row>
    <row r="24" ht="24" customHeight="1">
      <c r="A24" s="34" t="inlineStr">
        <is>
          <t>📋 ORIENTAÇÕES PARA O CONSULTOR PREENCHER OS SCORES</t>
        </is>
      </c>
      <c r="B24" s="35" t="n"/>
      <c r="C24" s="35" t="n"/>
      <c r="D24" s="35" t="n"/>
      <c r="E24" s="35" t="n"/>
      <c r="F24" s="35" t="n"/>
      <c r="G24" s="35" t="n"/>
      <c r="H24" s="36" t="n"/>
    </row>
    <row r="25" ht="20" customHeight="1">
      <c r="A25" s="148" t="inlineStr">
        <is>
          <t>1. Preencha o Diagnóstico na aba 🔍 Diagnóstico para cada setor</t>
        </is>
      </c>
      <c r="B25" s="42" t="n"/>
      <c r="C25" s="42" t="n"/>
      <c r="D25" s="42" t="n"/>
      <c r="E25" s="42" t="n"/>
      <c r="F25" s="42" t="n"/>
      <c r="G25" s="42" t="n"/>
      <c r="H25" s="43" t="n"/>
    </row>
    <row r="26" ht="20" customHeight="1">
      <c r="A26" s="148" t="inlineStr">
        <is>
          <t>2. Na coluna D (Score) desta aba, insira o total de cada setor do diagnóstico</t>
        </is>
      </c>
      <c r="B26" s="42" t="n"/>
      <c r="C26" s="42" t="n"/>
      <c r="D26" s="42" t="n"/>
      <c r="E26" s="42" t="n"/>
      <c r="F26" s="42" t="n"/>
      <c r="G26" s="42" t="n"/>
      <c r="H26" s="43" t="n"/>
    </row>
    <row r="27" ht="20" customHeight="1">
      <c r="A27" s="148" t="inlineStr">
        <is>
          <t>3. Os percentuais, status e prioridades são calculados automaticamente</t>
        </is>
      </c>
      <c r="B27" s="42" t="n"/>
      <c r="C27" s="42" t="n"/>
      <c r="D27" s="42" t="n"/>
      <c r="E27" s="42" t="n"/>
      <c r="F27" s="42" t="n"/>
      <c r="G27" s="42" t="n"/>
      <c r="H27" s="43" t="n"/>
    </row>
    <row r="28" ht="20" customHeight="1">
      <c r="A28" s="148" t="inlineStr">
        <is>
          <t>4. Use os Status para priorizar as prescrições na aba 💊 Prescrições</t>
        </is>
      </c>
      <c r="B28" s="42" t="n"/>
      <c r="C28" s="42" t="n"/>
      <c r="D28" s="42" t="n"/>
      <c r="E28" s="42" t="n"/>
      <c r="F28" s="42" t="n"/>
      <c r="G28" s="42" t="n"/>
      <c r="H28" s="43" t="n"/>
    </row>
    <row r="29" ht="20" customHeight="1">
      <c r="A29" s="148" t="inlineStr">
        <is>
          <t>5. Scores abaixo de 40% = Prioridade máxima de ativação</t>
        </is>
      </c>
      <c r="B29" s="42" t="n"/>
      <c r="C29" s="42" t="n"/>
      <c r="D29" s="42" t="n"/>
      <c r="E29" s="42" t="n"/>
      <c r="F29" s="42" t="n"/>
      <c r="G29" s="42" t="n"/>
      <c r="H29" s="43" t="n"/>
    </row>
  </sheetData>
  <mergeCells count="14">
    <mergeCell ref="B8:H8"/>
    <mergeCell ref="A3:H3"/>
    <mergeCell ref="A26:H26"/>
    <mergeCell ref="B9:H9"/>
    <mergeCell ref="A29:H29"/>
    <mergeCell ref="A25:H25"/>
    <mergeCell ref="A24:H24"/>
    <mergeCell ref="A28:H28"/>
    <mergeCell ref="B6:H6"/>
    <mergeCell ref="A11:H11"/>
    <mergeCell ref="B7:H7"/>
    <mergeCell ref="A5:H5"/>
    <mergeCell ref="A1:H2"/>
    <mergeCell ref="A27:H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8" customWidth="1" min="4" max="4"/>
    <col width="14" customWidth="1" min="5" max="5"/>
    <col width="22" customWidth="1" min="6" max="6"/>
    <col width="14" customWidth="1" min="7" max="7"/>
    <col width="22" customWidth="1" min="8" max="8"/>
    <col width="14" customWidth="1" min="9" max="9"/>
    <col width="14" customWidth="1" min="10" max="10"/>
  </cols>
  <sheetData>
    <row r="1" ht="30" customHeight="1">
      <c r="A1" s="19" t="inlineStr">
        <is>
          <t>💊  PLANO DE ATIVAÇÕES — Prescrições e Rituais por Setor</t>
        </is>
      </c>
    </row>
    <row r="2"/>
    <row r="3" ht="30" customHeight="1">
      <c r="A3" s="39" t="inlineStr">
        <is>
          <t>Prioridade</t>
        </is>
      </c>
      <c r="B3" s="39" t="inlineStr">
        <is>
          <t>Setor</t>
        </is>
      </c>
      <c r="C3" s="39" t="inlineStr">
        <is>
          <t>Problema Identificado</t>
        </is>
      </c>
      <c r="D3" s="39" t="inlineStr">
        <is>
          <t>Objeto/Ativação</t>
        </is>
      </c>
      <c r="E3" s="6" t="n"/>
      <c r="F3" s="39" t="inlineStr">
        <is>
          <t>Ritual — Mantra</t>
        </is>
      </c>
      <c r="G3" s="6" t="n"/>
      <c r="H3" s="39" t="inlineStr">
        <is>
          <t>Visualização</t>
        </is>
      </c>
      <c r="I3" s="39" t="inlineStr">
        <is>
          <t>Fase Lunar</t>
        </is>
      </c>
      <c r="J3" s="39" t="inlineStr">
        <is>
          <t>Status</t>
        </is>
      </c>
    </row>
    <row r="4" ht="60" customHeight="1">
      <c r="A4" s="149" t="inlineStr">
        <is>
          <t>🔴 URGENTE</t>
        </is>
      </c>
      <c r="B4" s="150" t="inlineStr">
        <is>
          <t>🔴 Prosperidade</t>
        </is>
      </c>
      <c r="C4" s="51" t="inlineStr">
        <is>
          <t>Área vazia/técnica no setor</t>
        </is>
      </c>
      <c r="D4" s="51" t="inlineStr">
        <is>
          <t>Planta robusta + luz para cima + objeto dourado no closet</t>
        </is>
      </c>
      <c r="F4" s="151" t="inlineStr">
        <is>
          <t>'Esta planta cresce e floresce, assim como a abundância flui para minha vida de forma constante, fácil e merecida'</t>
        </is>
      </c>
      <c r="H4" s="152" t="inlineStr">
        <is>
          <t>Corrente de água limpa trazendo recursos e oportunidades</t>
        </is>
      </c>
      <c r="I4" s="153" t="inlineStr">
        <is>
          <t>Lua Crescente</t>
        </is>
      </c>
      <c r="J4" s="153" t="inlineStr">
        <is>
          <t>⏳ Pendente</t>
        </is>
      </c>
    </row>
    <row r="5" ht="60" customHeight="1">
      <c r="A5" s="149" t="inlineStr">
        <is>
          <t>🔴 URGENTE</t>
        </is>
      </c>
      <c r="B5" s="150" t="inlineStr">
        <is>
          <t>🟡 Saúde</t>
        </is>
      </c>
      <c r="C5" s="51" t="inlineStr">
        <is>
          <t>Corredor central acelerando chi</t>
        </is>
      </c>
      <c r="D5" s="51" t="inlineStr">
        <is>
          <t>Tapete natural + cristal citrino no corredor</t>
        </is>
      </c>
      <c r="F5" s="151" t="inlineStr">
        <is>
          <t>'Este tapete ancora minha saúde e de todos que vivem neste lar. Nossa vitalidade é forte e renovada a cada dia'</t>
        </is>
      </c>
      <c r="H5" s="152" t="inlineStr">
        <is>
          <t>Moradores caminhando com leveza, chi desacelerando como água absorvida pela terra</t>
        </is>
      </c>
      <c r="I5" s="153" t="inlineStr">
        <is>
          <t>Lua Nova</t>
        </is>
      </c>
      <c r="J5" s="153" t="inlineStr">
        <is>
          <t>⏳ Pendente</t>
        </is>
      </c>
    </row>
    <row r="6" ht="60" customHeight="1">
      <c r="A6" s="154" t="inlineStr">
        <is>
          <t>🟠 ALTA</t>
        </is>
      </c>
      <c r="B6" s="155" t="inlineStr">
        <is>
          <t>🔵 Carreira</t>
        </is>
      </c>
      <c r="C6" s="51" t="inlineStr">
        <is>
          <t>Entrada sem ativação adequada</t>
        </is>
      </c>
      <c r="D6" s="51" t="inlineStr">
        <is>
          <t>Espelho lateral + tapete de qualidade + iluminação forte</t>
        </is>
      </c>
      <c r="F6" s="151" t="inlineStr">
        <is>
          <t>'Este espelho acolhe e amplifica as oportunidades. Minha carreira se expande, meu propósito é claro'</t>
        </is>
      </c>
      <c r="H6" s="152" t="inlineStr">
        <is>
          <t>Chegando em casa após grande sucesso profissional, reflexo de satisfação e realização</t>
        </is>
      </c>
      <c r="I6" s="153" t="inlineStr">
        <is>
          <t>Lua Crescente</t>
        </is>
      </c>
      <c r="J6" s="153" t="inlineStr">
        <is>
          <t>⏳ Pendente</t>
        </is>
      </c>
    </row>
    <row r="7" ht="60" customHeight="1">
      <c r="A7" s="154" t="inlineStr">
        <is>
          <t>🟠 ALTA</t>
        </is>
      </c>
      <c r="B7" s="155" t="inlineStr">
        <is>
          <t>🌿 Família</t>
        </is>
      </c>
      <c r="C7" s="51" t="inlineStr">
        <is>
          <t>Área de serviço no setor familiar</t>
        </is>
      </c>
      <c r="D7" s="51" t="inlineStr">
        <is>
          <t>Planta de folha larga + foto de família + organização profunda</t>
        </is>
      </c>
      <c r="F7" s="151" t="inlineStr">
        <is>
          <t>'Nossas raízes são profundas, nossos laços são fortes, nosso amor é verde, vivo e crescente'</t>
        </is>
      </c>
      <c r="H7" s="152" t="inlineStr">
        <is>
          <t>Família reunida, laços como raízes de árvore grande e sólida</t>
        </is>
      </c>
      <c r="I7" s="153" t="inlineStr">
        <is>
          <t>Lua Nova</t>
        </is>
      </c>
      <c r="J7" s="153" t="inlineStr">
        <is>
          <t>⏳ Pendente</t>
        </is>
      </c>
    </row>
    <row r="8" ht="60" customHeight="1">
      <c r="A8" s="156" t="inlineStr">
        <is>
          <t>🟡 MÉDIA</t>
        </is>
      </c>
      <c r="B8" s="157" t="inlineStr">
        <is>
          <t>💜 Relacionamentos</t>
        </is>
      </c>
      <c r="C8" s="51" t="inlineStr">
        <is>
          <t>Falta de ativação de pares</t>
        </is>
      </c>
      <c r="D8" s="51" t="inlineStr">
        <is>
          <t>Objetos em pares + cristal quartzo rosa + luz quente no home</t>
        </is>
      </c>
      <c r="F8" s="151" t="inlineStr">
        <is>
          <t>'Atraio relacionamentos saudáveis, recíprocos e enriquecedores. Sou digno(a) de ser amado(a) plenamente'</t>
        </is>
      </c>
      <c r="H8" s="152" t="inlineStr">
        <is>
          <t>Dois seres que se completam sem se perder, campo de amor e segurança</t>
        </is>
      </c>
      <c r="I8" s="153" t="inlineStr">
        <is>
          <t>Lua Cheia</t>
        </is>
      </c>
      <c r="J8" s="153" t="inlineStr">
        <is>
          <t>⏳ Pendente</t>
        </is>
      </c>
    </row>
    <row r="9" ht="60" customHeight="1">
      <c r="A9" s="156" t="inlineStr">
        <is>
          <t>🟡 MÉDIA</t>
        </is>
      </c>
      <c r="B9" s="157" t="inlineStr">
        <is>
          <t>🔥 Fama</t>
        </is>
      </c>
      <c r="C9" s="51" t="inlineStr">
        <is>
          <t>Setor sem elemento fogo</t>
        </is>
      </c>
      <c r="D9" s="51" t="inlineStr">
        <is>
          <t>Iluminação forte + obra de arte em tons de fogo + diplomas</t>
        </is>
      </c>
      <c r="F9" s="151" t="inlineStr">
        <is>
          <t>'Sou reconhecido(a) pelo melhor que tenho a oferecer. Meu nome e trabalho são lembrados com respeito'</t>
        </is>
      </c>
      <c r="H9" s="152" t="inlineStr">
        <is>
          <t>Farol irradiando energia que atrai o reconhecimento certo</t>
        </is>
      </c>
      <c r="I9" s="153" t="inlineStr">
        <is>
          <t>Lua Cheia</t>
        </is>
      </c>
      <c r="J9" s="153" t="inlineStr">
        <is>
          <t>⏳ Pendente</t>
        </is>
      </c>
    </row>
    <row r="10" ht="60" customHeight="1">
      <c r="A10" s="158" t="inlineStr">
        <is>
          <t>🟢 BAIXA</t>
        </is>
      </c>
      <c r="B10" s="159" t="inlineStr">
        <is>
          <t>⭕ Criatividade</t>
        </is>
      </c>
      <c r="C10" s="51" t="inlineStr">
        <is>
          <t>Terraço com energia dispersa</t>
        </is>
      </c>
      <c r="D10" s="51" t="inlineStr">
        <is>
          <t>Flores no terraço + elemento circular no living + fruteira na mesa</t>
        </is>
      </c>
      <c r="F10" s="151" t="inlineStr">
        <is>
          <t>'O círculo representa criação sem fim. A criatividade flui, as ideias surgem com facilidade'</t>
        </is>
      </c>
      <c r="H10" s="152" t="inlineStr">
        <is>
          <t>Espaço vivo com conversas inspiradoras, projetos nascendo, alegria de criar</t>
        </is>
      </c>
      <c r="I10" s="153" t="inlineStr">
        <is>
          <t>Lua Crescente</t>
        </is>
      </c>
      <c r="J10" s="153" t="inlineStr">
        <is>
          <t>⏳ Pendente</t>
        </is>
      </c>
    </row>
    <row r="12" ht="24" customHeight="1">
      <c r="A12" s="34" t="inlineStr">
        <is>
          <t>➕ ESPAÇO PARA PRESCRIÇÕES ADICIONAIS DO CONSULTOR</t>
        </is>
      </c>
      <c r="B12" s="35" t="n"/>
      <c r="C12" s="35" t="n"/>
      <c r="D12" s="35" t="n"/>
      <c r="E12" s="35" t="n"/>
      <c r="F12" s="35" t="n"/>
      <c r="G12" s="35" t="n"/>
      <c r="H12" s="35" t="n"/>
      <c r="I12" s="35" t="n"/>
      <c r="J12" s="36" t="n"/>
    </row>
    <row r="13" ht="50" customHeight="1">
      <c r="A13" s="147" t="inlineStr"/>
      <c r="B13" s="147" t="inlineStr"/>
      <c r="C13" s="147" t="inlineStr"/>
      <c r="D13" s="147" t="inlineStr"/>
      <c r="E13" s="147" t="inlineStr"/>
      <c r="F13" s="147" t="inlineStr"/>
      <c r="G13" s="147" t="inlineStr"/>
      <c r="H13" s="147" t="inlineStr"/>
      <c r="I13" s="147" t="inlineStr"/>
      <c r="J13" s="147" t="inlineStr"/>
    </row>
    <row r="14" ht="50" customHeight="1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</row>
    <row r="15" ht="50" customHeight="1">
      <c r="A15" s="147" t="inlineStr"/>
      <c r="B15" s="147" t="inlineStr"/>
      <c r="C15" s="147" t="inlineStr"/>
      <c r="D15" s="147" t="inlineStr"/>
      <c r="E15" s="147" t="inlineStr"/>
      <c r="F15" s="147" t="inlineStr"/>
      <c r="G15" s="147" t="inlineStr"/>
      <c r="H15" s="147" t="inlineStr"/>
      <c r="I15" s="147" t="inlineStr"/>
      <c r="J15" s="147" t="inlineStr"/>
    </row>
    <row r="16" ht="50" customHeight="1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</row>
    <row r="17" ht="50" customHeight="1">
      <c r="A17" s="147" t="inlineStr"/>
      <c r="B17" s="147" t="inlineStr"/>
      <c r="C17" s="147" t="inlineStr"/>
      <c r="D17" s="147" t="inlineStr"/>
      <c r="E17" s="147" t="inlineStr"/>
      <c r="F17" s="147" t="inlineStr"/>
      <c r="G17" s="147" t="inlineStr"/>
      <c r="H17" s="147" t="inlineStr"/>
      <c r="I17" s="147" t="inlineStr"/>
      <c r="J17" s="147" t="inlineStr"/>
    </row>
  </sheetData>
  <mergeCells count="18">
    <mergeCell ref="F3:G3"/>
    <mergeCell ref="F4:G4"/>
    <mergeCell ref="D6:E6"/>
    <mergeCell ref="D8:E8"/>
    <mergeCell ref="A1:J2"/>
    <mergeCell ref="D7:E7"/>
    <mergeCell ref="D10:E10"/>
    <mergeCell ref="F10:G10"/>
    <mergeCell ref="F5:G5"/>
    <mergeCell ref="D5:E5"/>
    <mergeCell ref="A12:J12"/>
    <mergeCell ref="F6:G6"/>
    <mergeCell ref="D4:E4"/>
    <mergeCell ref="D9:E9"/>
    <mergeCell ref="D3:E3"/>
    <mergeCell ref="F9:G9"/>
    <mergeCell ref="F7:G7"/>
    <mergeCell ref="F8:G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6" customWidth="1" min="4" max="4"/>
    <col width="14" customWidth="1" min="5" max="5"/>
    <col width="16" customWidth="1" min="6" max="6"/>
    <col width="24" customWidth="1" min="7" max="7"/>
  </cols>
  <sheetData>
    <row r="1" ht="30" customHeight="1">
      <c r="A1" s="19" t="inlineStr">
        <is>
          <t>📅  CRONOGRAMA LUNAR DE RITUAIS</t>
        </is>
      </c>
    </row>
    <row r="2"/>
    <row r="3" ht="24" customHeight="1">
      <c r="A3" s="96" t="inlineStr">
        <is>
          <t>O ciclo lunar tem ~29 dias. Alinhe os rituais às fases para potencializar as ativações.</t>
        </is>
      </c>
      <c r="B3" s="35" t="n"/>
      <c r="C3" s="35" t="n"/>
      <c r="D3" s="35" t="n"/>
      <c r="E3" s="35" t="n"/>
      <c r="F3" s="35" t="n"/>
      <c r="G3" s="36" t="n"/>
    </row>
    <row r="5" ht="24" customHeight="1">
      <c r="A5" s="160" t="inlineStr">
        <is>
          <t>🌑 LUA NOVA</t>
        </is>
      </c>
      <c r="B5" s="161" t="n"/>
      <c r="C5" s="161" t="n"/>
      <c r="D5" s="161" t="n"/>
      <c r="E5" s="161" t="n"/>
      <c r="F5" s="161" t="n"/>
      <c r="G5" s="162" t="n"/>
    </row>
    <row r="6" ht="20" customHeight="1">
      <c r="A6" s="163" t="inlineStr">
        <is>
          <t>Energia:</t>
        </is>
      </c>
      <c r="B6" s="164" t="inlineStr">
        <is>
          <t>Início do ciclo — energia de plantio e intenção</t>
        </is>
      </c>
    </row>
    <row r="7" ht="20" customHeight="1">
      <c r="A7" s="163" t="inlineStr">
        <is>
          <t>Ação:</t>
        </is>
      </c>
      <c r="B7" s="163" t="inlineStr">
        <is>
          <t>Limpar + Intenção</t>
        </is>
      </c>
    </row>
    <row r="8" ht="40" customHeight="1">
      <c r="A8" s="17" t="inlineStr">
        <is>
          <t>Rituais:</t>
        </is>
      </c>
      <c r="B8" s="165" t="inlineStr">
        <is>
          <t>Limpeza energética geral da casa. Organizar a lavanderia (Família). Definir intenções do ciclo.</t>
        </is>
      </c>
    </row>
    <row r="10" ht="24" customHeight="1">
      <c r="A10" s="166" t="inlineStr">
        <is>
          <t>🌒 CRESCENTE</t>
        </is>
      </c>
      <c r="B10" s="167" t="n"/>
      <c r="C10" s="167" t="n"/>
      <c r="D10" s="167" t="n"/>
      <c r="E10" s="167" t="n"/>
      <c r="F10" s="167" t="n"/>
      <c r="G10" s="168" t="n"/>
    </row>
    <row r="11" ht="20" customHeight="1">
      <c r="A11" s="169" t="inlineStr">
        <is>
          <t>Energia:</t>
        </is>
      </c>
      <c r="B11" s="170" t="inlineStr">
        <is>
          <t>Energia em expansão — momento de ativar e plantar</t>
        </is>
      </c>
    </row>
    <row r="12" ht="20" customHeight="1">
      <c r="A12" s="169" t="inlineStr">
        <is>
          <t>Ação:</t>
        </is>
      </c>
      <c r="B12" s="169" t="inlineStr">
        <is>
          <t>Ativar + Plantar</t>
        </is>
      </c>
    </row>
    <row r="13" ht="40" customHeight="1">
      <c r="A13" s="17" t="inlineStr">
        <is>
          <t>Rituais:</t>
        </is>
      </c>
      <c r="B13" s="165" t="inlineStr">
        <is>
          <t>Posicionar plantas (Prosperidade, Família). Instalar espelhos e tapetes (Carreira). Cristal citrino (Saúde).</t>
        </is>
      </c>
    </row>
    <row r="15" ht="24" customHeight="1">
      <c r="A15" s="20" t="inlineStr">
        <is>
          <t>🌕 LUA CHEIA</t>
        </is>
      </c>
      <c r="B15" s="21" t="n"/>
      <c r="C15" s="21" t="n"/>
      <c r="D15" s="21" t="n"/>
      <c r="E15" s="21" t="n"/>
      <c r="F15" s="21" t="n"/>
      <c r="G15" s="22" t="n"/>
    </row>
    <row r="16" ht="20" customHeight="1">
      <c r="A16" s="171" t="inlineStr">
        <is>
          <t>Energia:</t>
        </is>
      </c>
      <c r="B16" s="172" t="inlineStr">
        <is>
          <t>Pico de energia — ativações de amor e fama</t>
        </is>
      </c>
    </row>
    <row r="17" ht="20" customHeight="1">
      <c r="A17" s="171" t="inlineStr">
        <is>
          <t>Ação:</t>
        </is>
      </c>
      <c r="B17" s="171" t="inlineStr">
        <is>
          <t>Amplificar + Brilhar</t>
        </is>
      </c>
    </row>
    <row r="18" ht="40" customHeight="1">
      <c r="A18" s="17" t="inlineStr">
        <is>
          <t>Rituais:</t>
        </is>
      </c>
      <c r="B18" s="165" t="inlineStr">
        <is>
          <t>Cristal quartzo rosa (Relacionamentos). Iluminação e obra de arte (Fama). Rituais de pares.</t>
        </is>
      </c>
    </row>
    <row r="20" ht="24" customHeight="1">
      <c r="A20" s="34" t="inlineStr">
        <is>
          <t>🌘 MINGUANTE</t>
        </is>
      </c>
      <c r="B20" s="35" t="n"/>
      <c r="C20" s="35" t="n"/>
      <c r="D20" s="35" t="n"/>
      <c r="E20" s="35" t="n"/>
      <c r="F20" s="35" t="n"/>
      <c r="G20" s="36" t="n"/>
    </row>
    <row r="21" ht="20" customHeight="1">
      <c r="A21" s="173" t="inlineStr">
        <is>
          <t>Energia:</t>
        </is>
      </c>
      <c r="B21" s="174" t="inlineStr">
        <is>
          <t>Energia em dissolução — soltar e renovar</t>
        </is>
      </c>
    </row>
    <row r="22" ht="20" customHeight="1">
      <c r="A22" s="173" t="inlineStr">
        <is>
          <t>Ação:</t>
        </is>
      </c>
      <c r="B22" s="173" t="inlineStr">
        <is>
          <t>Soltar + Renovar</t>
        </is>
      </c>
    </row>
    <row r="23" ht="40" customHeight="1">
      <c r="A23" s="17" t="inlineStr">
        <is>
          <t>Rituais:</t>
        </is>
      </c>
      <c r="B23" s="165" t="inlineStr">
        <is>
          <t>Descartar o que não serve. Roupas velhas do closet. Limpar e renovar o terraço técnico.</t>
        </is>
      </c>
    </row>
    <row r="25" ht="24" customHeight="1">
      <c r="A25" s="20" t="inlineStr">
        <is>
          <t>🔄 CICLO DE RENOVAÇÃO — A cada 9 Semanas</t>
        </is>
      </c>
      <c r="B25" s="21" t="n"/>
      <c r="C25" s="21" t="n"/>
      <c r="D25" s="21" t="n"/>
      <c r="E25" s="21" t="n"/>
      <c r="F25" s="21" t="n"/>
      <c r="G25" s="22" t="n"/>
    </row>
    <row r="26" ht="22" customHeight="1">
      <c r="A26" s="4" t="inlineStr">
        <is>
          <t>Semana</t>
        </is>
      </c>
      <c r="B26" s="4" t="inlineStr">
        <is>
          <t>Fase Sugerida</t>
        </is>
      </c>
      <c r="C26" s="4" t="inlineStr">
        <is>
          <t>Setores a Renovar</t>
        </is>
      </c>
      <c r="D26" s="6" t="n"/>
      <c r="E26" s="4" t="inlineStr">
        <is>
          <t>Concluído?</t>
        </is>
      </c>
      <c r="F26" s="4" t="inlineStr">
        <is>
          <t>Data</t>
        </is>
      </c>
      <c r="G26" s="4" t="inlineStr">
        <is>
          <t>Observações</t>
        </is>
      </c>
    </row>
    <row r="27" ht="22" customHeight="1">
      <c r="A27" s="175" t="inlineStr">
        <is>
          <t>Semana 1</t>
        </is>
      </c>
      <c r="B27" s="8" t="inlineStr">
        <is>
          <t>Lua Nova</t>
        </is>
      </c>
      <c r="C27" s="8" t="inlineStr">
        <is>
          <t>Limpeza Geral + Família</t>
        </is>
      </c>
      <c r="E27" s="176" t="inlineStr">
        <is>
          <t>☐</t>
        </is>
      </c>
      <c r="F27" s="10" t="inlineStr"/>
      <c r="G27" s="10" t="inlineStr"/>
    </row>
    <row r="28" ht="22" customHeight="1">
      <c r="A28" s="177" t="inlineStr">
        <is>
          <t>Semana 2</t>
        </is>
      </c>
      <c r="B28" s="10" t="inlineStr">
        <is>
          <t>Lua Crescente</t>
        </is>
      </c>
      <c r="C28" s="10" t="inlineStr">
        <is>
          <t>Prosperidade + Carreira</t>
        </is>
      </c>
      <c r="E28" s="178" t="inlineStr">
        <is>
          <t>☐</t>
        </is>
      </c>
      <c r="F28" s="10" t="inlineStr"/>
      <c r="G28" s="10" t="inlineStr"/>
    </row>
    <row r="29" ht="22" customHeight="1">
      <c r="A29" s="175" t="inlineStr">
        <is>
          <t>Semana 3</t>
        </is>
      </c>
      <c r="B29" s="8" t="inlineStr">
        <is>
          <t>Lua Crescente</t>
        </is>
      </c>
      <c r="C29" s="8" t="inlineStr">
        <is>
          <t>Saúde + Conhecimento</t>
        </is>
      </c>
      <c r="E29" s="176" t="inlineStr">
        <is>
          <t>☐</t>
        </is>
      </c>
      <c r="F29" s="10" t="inlineStr"/>
      <c r="G29" s="10" t="inlineStr"/>
    </row>
    <row r="30" ht="22" customHeight="1">
      <c r="A30" s="177" t="inlineStr">
        <is>
          <t>Semana 4</t>
        </is>
      </c>
      <c r="B30" s="10" t="inlineStr">
        <is>
          <t>Lua Cheia</t>
        </is>
      </c>
      <c r="C30" s="10" t="inlineStr">
        <is>
          <t>Relacionamentos + Fama</t>
        </is>
      </c>
      <c r="E30" s="178" t="inlineStr">
        <is>
          <t>☐</t>
        </is>
      </c>
      <c r="F30" s="10" t="inlineStr"/>
      <c r="G30" s="10" t="inlineStr"/>
    </row>
    <row r="31" ht="22" customHeight="1">
      <c r="A31" s="175" t="inlineStr">
        <is>
          <t>Semana 5</t>
        </is>
      </c>
      <c r="B31" s="8" t="inlineStr">
        <is>
          <t>Lua Minguante</t>
        </is>
      </c>
      <c r="C31" s="8" t="inlineStr">
        <is>
          <t>Descarte + Renovação</t>
        </is>
      </c>
      <c r="E31" s="176" t="inlineStr">
        <is>
          <t>☐</t>
        </is>
      </c>
      <c r="F31" s="10" t="inlineStr"/>
      <c r="G31" s="10" t="inlineStr"/>
    </row>
    <row r="32" ht="22" customHeight="1">
      <c r="A32" s="177" t="inlineStr">
        <is>
          <t>Semana 6</t>
        </is>
      </c>
      <c r="B32" s="10" t="inlineStr">
        <is>
          <t>Lua Nova</t>
        </is>
      </c>
      <c r="C32" s="10" t="inlineStr">
        <is>
          <t>Nova Intenção do Ciclo</t>
        </is>
      </c>
      <c r="E32" s="178" t="inlineStr">
        <is>
          <t>☐</t>
        </is>
      </c>
      <c r="F32" s="10" t="inlineStr"/>
      <c r="G32" s="10" t="inlineStr"/>
    </row>
    <row r="33" ht="22" customHeight="1">
      <c r="A33" s="175" t="inlineStr">
        <is>
          <t>Semana 7</t>
        </is>
      </c>
      <c r="B33" s="8" t="inlineStr">
        <is>
          <t>Lua Crescente</t>
        </is>
      </c>
      <c r="C33" s="8" t="inlineStr">
        <is>
          <t>Criatividade + Ajudantes</t>
        </is>
      </c>
      <c r="E33" s="176" t="inlineStr">
        <is>
          <t>☐</t>
        </is>
      </c>
      <c r="F33" s="10" t="inlineStr"/>
      <c r="G33" s="10" t="inlineStr"/>
    </row>
    <row r="34" ht="22" customHeight="1">
      <c r="A34" s="177" t="inlineStr">
        <is>
          <t>Semana 8</t>
        </is>
      </c>
      <c r="B34" s="10" t="inlineStr">
        <is>
          <t>Lua Cheia</t>
        </is>
      </c>
      <c r="C34" s="10" t="inlineStr">
        <is>
          <t>Amplificação Geral</t>
        </is>
      </c>
      <c r="E34" s="178" t="inlineStr">
        <is>
          <t>☐</t>
        </is>
      </c>
      <c r="F34" s="10" t="inlineStr"/>
      <c r="G34" s="10" t="inlineStr"/>
    </row>
    <row r="35" ht="22" customHeight="1">
      <c r="A35" s="175" t="inlineStr">
        <is>
          <t>Semana 9</t>
        </is>
      </c>
      <c r="B35" s="8" t="inlineStr">
        <is>
          <t>Lua Minguante</t>
        </is>
      </c>
      <c r="C35" s="8" t="inlineStr">
        <is>
          <t>Fechamento + Gratidão</t>
        </is>
      </c>
      <c r="E35" s="176" t="inlineStr">
        <is>
          <t>☐</t>
        </is>
      </c>
      <c r="F35" s="10" t="inlineStr"/>
      <c r="G35" s="10" t="inlineStr"/>
    </row>
  </sheetData>
  <mergeCells count="29">
    <mergeCell ref="C34:D34"/>
    <mergeCell ref="C30:D30"/>
    <mergeCell ref="A1:G2"/>
    <mergeCell ref="C33:D33"/>
    <mergeCell ref="B17:G17"/>
    <mergeCell ref="B23:G23"/>
    <mergeCell ref="A5:G5"/>
    <mergeCell ref="B8:G8"/>
    <mergeCell ref="A20:G20"/>
    <mergeCell ref="B13:G13"/>
    <mergeCell ref="C26:D26"/>
    <mergeCell ref="A10:G10"/>
    <mergeCell ref="C35:D35"/>
    <mergeCell ref="C29:D29"/>
    <mergeCell ref="A15:G15"/>
    <mergeCell ref="C31:D31"/>
    <mergeCell ref="B6:G6"/>
    <mergeCell ref="C27:D27"/>
    <mergeCell ref="A25:G25"/>
    <mergeCell ref="B7:G7"/>
    <mergeCell ref="B16:G16"/>
    <mergeCell ref="C32:D32"/>
    <mergeCell ref="B22:G22"/>
    <mergeCell ref="A3:G3"/>
    <mergeCell ref="C28:D28"/>
    <mergeCell ref="B12:G12"/>
    <mergeCell ref="B18:G18"/>
    <mergeCell ref="B21:G21"/>
    <mergeCell ref="B11:G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rightToLeft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14" customWidth="1" min="4" max="4"/>
    <col width="14" customWidth="1" min="5" max="5"/>
    <col width="12" customWidth="1" min="6" max="6"/>
    <col width="10" customWidth="1" min="7" max="7"/>
    <col width="24" customWidth="1" min="8" max="8"/>
  </cols>
  <sheetData>
    <row r="1" ht="30" customHeight="1">
      <c r="A1" s="179" t="inlineStr">
        <is>
          <t>FENG SHUI CHAPÉU PRETO
Relatório de Diagnóstico e Plano de Ativação</t>
        </is>
      </c>
    </row>
    <row r="2" ht="30" customHeight="1"/>
    <row r="3" ht="10" customHeight="1"/>
    <row r="4" ht="24" customHeight="1">
      <c r="A4" s="180" t="inlineStr">
        <is>
          <t>✨  Que este lar seja um portal de prosperidade, saúde, amor e realização  ✨</t>
        </is>
      </c>
    </row>
    <row r="6" ht="24" customHeight="1">
      <c r="A6" s="20" t="inlineStr">
        <is>
          <t>📋 DADOS DA CONSULTA</t>
        </is>
      </c>
      <c r="B6" s="21" t="n"/>
      <c r="C6" s="21" t="n"/>
      <c r="D6" s="21" t="n"/>
      <c r="E6" s="21" t="n"/>
      <c r="F6" s="21" t="n"/>
      <c r="G6" s="21" t="n"/>
      <c r="H6" s="22" t="n"/>
    </row>
    <row r="7" ht="22" customHeight="1">
      <c r="A7" s="23" t="inlineStr">
        <is>
          <t>Cliente:</t>
        </is>
      </c>
      <c r="B7" s="10" t="inlineStr"/>
      <c r="D7" s="23" t="inlineStr">
        <is>
          <t>Data:</t>
        </is>
      </c>
      <c r="E7" s="10" t="inlineStr"/>
    </row>
    <row r="8" ht="22" customHeight="1">
      <c r="A8" s="23" t="inlineStr">
        <is>
          <t>Endereço:</t>
        </is>
      </c>
      <c r="B8" s="10" t="inlineStr"/>
    </row>
    <row r="9" ht="22" customHeight="1">
      <c r="A9" s="23" t="inlineStr">
        <is>
          <t>Consultor:</t>
        </is>
      </c>
      <c r="B9" s="10" t="inlineStr"/>
      <c r="D9" s="23" t="inlineStr">
        <is>
          <t>Contato:</t>
        </is>
      </c>
      <c r="E9" s="10" t="inlineStr"/>
    </row>
    <row r="11" ht="24" customHeight="1">
      <c r="A11" s="20" t="inlineStr">
        <is>
          <t>🗺️ MAPA ENERGÉTICO DA CASA</t>
        </is>
      </c>
      <c r="B11" s="21" t="n"/>
      <c r="C11" s="21" t="n"/>
      <c r="D11" s="21" t="n"/>
      <c r="E11" s="21" t="n"/>
      <c r="F11" s="21" t="n"/>
      <c r="G11" s="21" t="n"/>
      <c r="H11" s="22" t="n"/>
    </row>
    <row r="12" ht="28" customHeight="1">
      <c r="B12" s="181" t="inlineStr">
        <is>
          <t>Prosperidade
🔴</t>
        </is>
      </c>
      <c r="D12" s="182" t="inlineStr">
        <is>
          <t>Fama
🔥</t>
        </is>
      </c>
      <c r="F12" s="183" t="inlineStr">
        <is>
          <t>Relacionamentos
💜</t>
        </is>
      </c>
    </row>
    <row r="13" ht="28" customHeight="1"/>
    <row r="14" ht="28" customHeight="1">
      <c r="B14" s="184" t="inlineStr">
        <is>
          <t>Família
🌿</t>
        </is>
      </c>
      <c r="D14" s="185" t="inlineStr">
        <is>
          <t>SAÚDE
🟡</t>
        </is>
      </c>
      <c r="F14" s="186" t="inlineStr">
        <is>
          <t>Criatividade
⭕</t>
        </is>
      </c>
    </row>
    <row r="15" ht="28" customHeight="1"/>
    <row r="16" ht="28" customHeight="1">
      <c r="B16" s="187" t="inlineStr">
        <is>
          <t>Conhecimento
📚</t>
        </is>
      </c>
      <c r="D16" s="186" t="inlineStr">
        <is>
          <t>Carreira
🔵</t>
        </is>
      </c>
      <c r="F16" s="188" t="inlineStr">
        <is>
          <t>Ajudantes
🤝</t>
        </is>
      </c>
    </row>
    <row r="17" ht="28" customHeight="1"/>
    <row r="19" ht="22" customHeight="1">
      <c r="A19" s="189" t="inlineStr">
        <is>
          <t>🚪 ENTRADA:</t>
        </is>
      </c>
      <c r="B19" s="144" t="inlineStr"/>
    </row>
    <row r="21" ht="24" customHeight="1">
      <c r="A21" s="20" t="inlineStr">
        <is>
          <t>📊 DIAGNÓSTICO RESUMIDO POR SETOR</t>
        </is>
      </c>
      <c r="B21" s="21" t="n"/>
      <c r="C21" s="21" t="n"/>
      <c r="D21" s="21" t="n"/>
      <c r="E21" s="21" t="n"/>
      <c r="F21" s="21" t="n"/>
      <c r="G21" s="21" t="n"/>
      <c r="H21" s="22" t="n"/>
    </row>
    <row r="22" ht="22" customHeight="1">
      <c r="A22" s="4" t="inlineStr">
        <is>
          <t>Setor</t>
        </is>
      </c>
      <c r="B22" s="4" t="inlineStr">
        <is>
          <t>Score</t>
        </is>
      </c>
      <c r="C22" s="4" t="inlineStr">
        <is>
          <t>% Saúde</t>
        </is>
      </c>
      <c r="D22" s="4" t="inlineStr">
        <is>
          <t>Status</t>
        </is>
      </c>
      <c r="E22" s="4" t="inlineStr">
        <is>
          <t>Principais Problemas</t>
        </is>
      </c>
      <c r="F22" s="6" t="n"/>
      <c r="G22" s="4" t="inlineStr">
        <is>
          <t>Ativação Prioritária</t>
        </is>
      </c>
      <c r="H22" s="6" t="n"/>
    </row>
    <row r="23" ht="22" customHeight="1">
      <c r="A23" s="135" t="inlineStr">
        <is>
          <t>🔴 Prosperidade</t>
        </is>
      </c>
      <c r="B23" s="190" t="inlineStr">
        <is>
          <t>0</t>
        </is>
      </c>
      <c r="C23" s="190" t="inlineStr">
        <is>
          <t>0%</t>
        </is>
      </c>
      <c r="D23" s="190" t="inlineStr">
        <is>
          <t>🔴 Crítico</t>
        </is>
      </c>
      <c r="E23" s="69" t="inlineStr">
        <is>
          <t>Área técnica vazia no setor</t>
        </is>
      </c>
      <c r="G23" s="191" t="inlineStr">
        <is>
          <t>Planta robusta + luz + objeto dourado</t>
        </is>
      </c>
    </row>
    <row r="24" ht="22" customHeight="1">
      <c r="A24" s="17" t="inlineStr">
        <is>
          <t>🔥 Fama</t>
        </is>
      </c>
      <c r="B24" s="25" t="inlineStr">
        <is>
          <t>0</t>
        </is>
      </c>
      <c r="C24" s="25" t="inlineStr">
        <is>
          <t>0%</t>
        </is>
      </c>
      <c r="D24" s="25" t="inlineStr">
        <is>
          <t>⏳ Preencher</t>
        </is>
      </c>
      <c r="E24" s="51" t="inlineStr">
        <is>
          <t>—</t>
        </is>
      </c>
      <c r="G24" s="192" t="inlineStr">
        <is>
          <t>—</t>
        </is>
      </c>
    </row>
    <row r="25" ht="22" customHeight="1">
      <c r="A25" s="135" t="inlineStr">
        <is>
          <t>💜 Relacionamentos</t>
        </is>
      </c>
      <c r="B25" s="190" t="inlineStr">
        <is>
          <t>0</t>
        </is>
      </c>
      <c r="C25" s="190" t="inlineStr">
        <is>
          <t>0%</t>
        </is>
      </c>
      <c r="D25" s="190" t="inlineStr">
        <is>
          <t>⏳ Preencher</t>
        </is>
      </c>
      <c r="E25" s="69" t="inlineStr">
        <is>
          <t>—</t>
        </is>
      </c>
      <c r="G25" s="191" t="inlineStr">
        <is>
          <t>—</t>
        </is>
      </c>
    </row>
    <row r="26" ht="22" customHeight="1">
      <c r="A26" s="17" t="inlineStr">
        <is>
          <t>🌿 Família</t>
        </is>
      </c>
      <c r="B26" s="25" t="inlineStr">
        <is>
          <t>0</t>
        </is>
      </c>
      <c r="C26" s="25" t="inlineStr">
        <is>
          <t>0%</t>
        </is>
      </c>
      <c r="D26" s="25" t="inlineStr">
        <is>
          <t>⏳ Preencher</t>
        </is>
      </c>
      <c r="E26" s="51" t="inlineStr">
        <is>
          <t>Lavanderia no setor</t>
        </is>
      </c>
      <c r="G26" s="192" t="inlineStr">
        <is>
          <t>Planta folha larga + organização</t>
        </is>
      </c>
    </row>
    <row r="27" ht="22" customHeight="1">
      <c r="A27" s="135" t="inlineStr">
        <is>
          <t>🟡 Saúde</t>
        </is>
      </c>
      <c r="B27" s="190" t="inlineStr">
        <is>
          <t>0</t>
        </is>
      </c>
      <c r="C27" s="190" t="inlineStr">
        <is>
          <t>0%</t>
        </is>
      </c>
      <c r="D27" s="190" t="inlineStr">
        <is>
          <t>⏳ Preencher</t>
        </is>
      </c>
      <c r="E27" s="69" t="inlineStr">
        <is>
          <t>Corredor acelera chi</t>
        </is>
      </c>
      <c r="G27" s="191" t="inlineStr">
        <is>
          <t>Tapete + cristal citrino</t>
        </is>
      </c>
    </row>
    <row r="28" ht="22" customHeight="1">
      <c r="A28" s="17" t="inlineStr">
        <is>
          <t>⭕ Criatividade</t>
        </is>
      </c>
      <c r="B28" s="25" t="inlineStr">
        <is>
          <t>0</t>
        </is>
      </c>
      <c r="C28" s="25" t="inlineStr">
        <is>
          <t>0%</t>
        </is>
      </c>
      <c r="D28" s="25" t="inlineStr">
        <is>
          <t>⏳ Preencher</t>
        </is>
      </c>
      <c r="E28" s="51" t="inlineStr">
        <is>
          <t>—</t>
        </is>
      </c>
      <c r="G28" s="192" t="inlineStr">
        <is>
          <t>—</t>
        </is>
      </c>
    </row>
    <row r="29" ht="22" customHeight="1">
      <c r="A29" s="135" t="inlineStr">
        <is>
          <t>📚 Conhecimento</t>
        </is>
      </c>
      <c r="B29" s="190" t="inlineStr">
        <is>
          <t>0</t>
        </is>
      </c>
      <c r="C29" s="190" t="inlineStr">
        <is>
          <t>0%</t>
        </is>
      </c>
      <c r="D29" s="190" t="inlineStr">
        <is>
          <t>⏳ Preencher</t>
        </is>
      </c>
      <c r="E29" s="69" t="inlineStr">
        <is>
          <t>—</t>
        </is>
      </c>
      <c r="G29" s="191" t="inlineStr">
        <is>
          <t>—</t>
        </is>
      </c>
    </row>
    <row r="30" ht="22" customHeight="1">
      <c r="A30" s="17" t="inlineStr">
        <is>
          <t>🔵 Carreira</t>
        </is>
      </c>
      <c r="B30" s="25" t="inlineStr">
        <is>
          <t>0</t>
        </is>
      </c>
      <c r="C30" s="25" t="inlineStr">
        <is>
          <t>0%</t>
        </is>
      </c>
      <c r="D30" s="25" t="inlineStr">
        <is>
          <t>⏳ Preencher</t>
        </is>
      </c>
      <c r="E30" s="51" t="inlineStr">
        <is>
          <t>—</t>
        </is>
      </c>
      <c r="G30" s="192" t="inlineStr">
        <is>
          <t>—</t>
        </is>
      </c>
    </row>
    <row r="31" ht="22" customHeight="1">
      <c r="A31" s="135" t="inlineStr">
        <is>
          <t>🤝 Ajudantes</t>
        </is>
      </c>
      <c r="B31" s="190" t="inlineStr">
        <is>
          <t>0</t>
        </is>
      </c>
      <c r="C31" s="190" t="inlineStr">
        <is>
          <t>0%</t>
        </is>
      </c>
      <c r="D31" s="190" t="inlineStr">
        <is>
          <t>⏳ Preencher</t>
        </is>
      </c>
      <c r="E31" s="69" t="inlineStr">
        <is>
          <t>—</t>
        </is>
      </c>
      <c r="G31" s="191" t="inlineStr">
        <is>
          <t>—</t>
        </is>
      </c>
    </row>
    <row r="33" ht="24" customHeight="1">
      <c r="A33" s="20" t="inlineStr">
        <is>
          <t>✅ PLANO DE AÇÃO — PRÓXIMOS 30 DIAS</t>
        </is>
      </c>
      <c r="B33" s="21" t="n"/>
      <c r="C33" s="21" t="n"/>
      <c r="D33" s="21" t="n"/>
      <c r="E33" s="21" t="n"/>
      <c r="F33" s="21" t="n"/>
      <c r="G33" s="21" t="n"/>
      <c r="H33" s="22" t="n"/>
    </row>
    <row r="34" ht="22" customHeight="1">
      <c r="A34" s="4" t="inlineStr">
        <is>
          <t>#</t>
        </is>
      </c>
      <c r="B34" s="4" t="inlineStr">
        <is>
          <t>Ação</t>
        </is>
      </c>
      <c r="C34" s="6" t="n"/>
      <c r="D34" s="4" t="inlineStr">
        <is>
          <t>Setor</t>
        </is>
      </c>
      <c r="E34" s="4" t="inlineStr">
        <is>
          <t>Quando</t>
        </is>
      </c>
      <c r="F34" s="4" t="inlineStr">
        <is>
          <t>Custo Est.</t>
        </is>
      </c>
      <c r="G34" s="4" t="inlineStr">
        <is>
          <t>Concluído</t>
        </is>
      </c>
      <c r="H34" s="4" t="inlineStr">
        <is>
          <t>Observação</t>
        </is>
      </c>
    </row>
    <row r="35" ht="30" customHeight="1">
      <c r="A35" s="193" t="inlineStr">
        <is>
          <t>1</t>
        </is>
      </c>
      <c r="B35" s="194" t="inlineStr">
        <is>
          <t>Limpeza energética geral com sage e água salgada</t>
        </is>
      </c>
      <c r="D35" s="195" t="inlineStr">
        <is>
          <t>Toda a Casa</t>
        </is>
      </c>
      <c r="E35" s="196" t="inlineStr">
        <is>
          <t>Lua Nova</t>
        </is>
      </c>
      <c r="F35" s="197" t="inlineStr">
        <is>
          <t>R$ 20-50</t>
        </is>
      </c>
      <c r="G35" s="198" t="inlineStr">
        <is>
          <t>☐</t>
        </is>
      </c>
      <c r="H35" s="199" t="inlineStr">
        <is>
          <t>Fazer antes de qualquer outra ativação</t>
        </is>
      </c>
    </row>
    <row r="36" ht="30" customHeight="1">
      <c r="A36" s="200" t="inlineStr">
        <is>
          <t>2</t>
        </is>
      </c>
      <c r="B36" s="165" t="inlineStr">
        <is>
          <t>Planta robusta no terraço técnico com iluminação</t>
        </is>
      </c>
      <c r="D36" s="201" t="inlineStr">
        <is>
          <t>Prosperidade</t>
        </is>
      </c>
      <c r="E36" s="25" t="inlineStr">
        <is>
          <t>Lua Crescente</t>
        </is>
      </c>
      <c r="F36" s="202" t="inlineStr">
        <is>
          <t>R$ 80-200</t>
        </is>
      </c>
      <c r="G36" s="178" t="inlineStr">
        <is>
          <t>☐</t>
        </is>
      </c>
      <c r="H36" s="203" t="inlineStr">
        <is>
          <t>Bambu, dracena ou ficus em vaso pesado</t>
        </is>
      </c>
    </row>
    <row r="37" ht="30" customHeight="1">
      <c r="A37" s="193" t="inlineStr">
        <is>
          <t>3</t>
        </is>
      </c>
      <c r="B37" s="194" t="inlineStr">
        <is>
          <t>Objeto dourado no closet master</t>
        </is>
      </c>
      <c r="D37" s="195" t="inlineStr">
        <is>
          <t>Prosperidade</t>
        </is>
      </c>
      <c r="E37" s="196" t="inlineStr">
        <is>
          <t>Lua Crescente</t>
        </is>
      </c>
      <c r="F37" s="197" t="inlineStr">
        <is>
          <t>R$ 30-150</t>
        </is>
      </c>
      <c r="G37" s="198" t="inlineStr">
        <is>
          <t>☐</t>
        </is>
      </c>
      <c r="H37" s="199" t="inlineStr">
        <is>
          <t>Caixa, vaso ou escultura dourada</t>
        </is>
      </c>
    </row>
    <row r="38" ht="30" customHeight="1">
      <c r="A38" s="200" t="inlineStr">
        <is>
          <t>4</t>
        </is>
      </c>
      <c r="B38" s="165" t="inlineStr">
        <is>
          <t>Tapete natural no corredor central</t>
        </is>
      </c>
      <c r="D38" s="201" t="inlineStr">
        <is>
          <t>Saúde</t>
        </is>
      </c>
      <c r="E38" s="25" t="inlineStr">
        <is>
          <t>Qualquer</t>
        </is>
      </c>
      <c r="F38" s="202" t="inlineStr">
        <is>
          <t>R$ 100-400</t>
        </is>
      </c>
      <c r="G38" s="178" t="inlineStr">
        <is>
          <t>☐</t>
        </is>
      </c>
      <c r="H38" s="203" t="inlineStr">
        <is>
          <t>Juta ou sisal, tons terrosos</t>
        </is>
      </c>
    </row>
    <row r="39" ht="30" customHeight="1">
      <c r="A39" s="193" t="inlineStr">
        <is>
          <t>5</t>
        </is>
      </c>
      <c r="B39" s="194" t="inlineStr">
        <is>
          <t>Cristal citrino no corredor</t>
        </is>
      </c>
      <c r="D39" s="195" t="inlineStr">
        <is>
          <t>Saúde</t>
        </is>
      </c>
      <c r="E39" s="196" t="inlineStr">
        <is>
          <t>Lua Crescente</t>
        </is>
      </c>
      <c r="F39" s="197" t="inlineStr">
        <is>
          <t>R$ 40-120</t>
        </is>
      </c>
      <c r="G39" s="198" t="inlineStr">
        <is>
          <t>☐</t>
        </is>
      </c>
      <c r="H39" s="199" t="inlineStr">
        <is>
          <t>Banho de sol antes de posicionar</t>
        </is>
      </c>
    </row>
    <row r="40" ht="30" customHeight="1">
      <c r="A40" s="200" t="inlineStr">
        <is>
          <t>6</t>
        </is>
      </c>
      <c r="B40" s="165" t="inlineStr">
        <is>
          <t>Espelho lateral no hall + iluminação forte</t>
        </is>
      </c>
      <c r="D40" s="201" t="inlineStr">
        <is>
          <t>Carreira</t>
        </is>
      </c>
      <c r="E40" s="25" t="inlineStr">
        <is>
          <t>Qualquer</t>
        </is>
      </c>
      <c r="F40" s="202" t="inlineStr">
        <is>
          <t>R$ 80-300</t>
        </is>
      </c>
      <c r="G40" s="178" t="inlineStr">
        <is>
          <t>☐</t>
        </is>
      </c>
      <c r="H40" s="203" t="inlineStr">
        <is>
          <t>Nunca de frente para a porta</t>
        </is>
      </c>
    </row>
    <row r="41" ht="30" customHeight="1">
      <c r="A41" s="193" t="inlineStr">
        <is>
          <t>7</t>
        </is>
      </c>
      <c r="B41" s="194" t="inlineStr">
        <is>
          <t>Planta folha larga na lavanderia</t>
        </is>
      </c>
      <c r="D41" s="195" t="inlineStr">
        <is>
          <t>Família</t>
        </is>
      </c>
      <c r="E41" s="196" t="inlineStr">
        <is>
          <t>Qualquer</t>
        </is>
      </c>
      <c r="F41" s="197" t="inlineStr">
        <is>
          <t>R$ 30-80</t>
        </is>
      </c>
      <c r="G41" s="198" t="inlineStr">
        <is>
          <t>☐</t>
        </is>
      </c>
      <c r="H41" s="199" t="inlineStr">
        <is>
          <t>Pothos, zamioculca ou costela-de-adão</t>
        </is>
      </c>
    </row>
    <row r="44" ht="24" customHeight="1">
      <c r="A44" s="204" t="inlineStr">
        <is>
          <t>⚠️  LEMBRETES FUNDAMENTAIS</t>
        </is>
      </c>
    </row>
    <row r="45" ht="22" customHeight="1">
      <c r="A45" s="205" t="inlineStr">
        <is>
          <t>• A INTENÇÃO é mais poderosa que o objeto. Sempre ative com os Três Segredos: Gesto + Mantra + Visualização (9 vezes).</t>
        </is>
      </c>
    </row>
    <row r="46" ht="22" customHeight="1">
      <c r="A46" s="205" t="inlineStr">
        <is>
          <t>• Manter os ambientes LIMPOS e ORGANIZADOS é o pré-requisito de qualquer ativação.</t>
        </is>
      </c>
    </row>
    <row r="47" ht="22" customHeight="1">
      <c r="A47" s="205" t="inlineStr">
        <is>
          <t>• Plantas doentes ou mortas devem ser removidas imediatamente — drenam energia.</t>
        </is>
      </c>
    </row>
    <row r="48" ht="22" customHeight="1">
      <c r="A48" s="205" t="inlineStr">
        <is>
          <t>• Espelhos: NUNCA de frente para portas de entrada ou refletindo a cama.</t>
        </is>
      </c>
    </row>
    <row r="49" ht="22" customHeight="1">
      <c r="A49" s="205" t="inlineStr">
        <is>
          <t>• Renove os rituais a cada 9 semanas para manter a energia ativa.</t>
        </is>
      </c>
    </row>
    <row r="51" ht="28" customHeight="1">
      <c r="A51" s="180" t="inlineStr">
        <is>
          <t>✨ Que as ativações realizadas tragam prosperidade, saúde, amor e realização para todos que habitam este lar. ✨</t>
        </is>
      </c>
    </row>
  </sheetData>
  <mergeCells count="56">
    <mergeCell ref="A48:H48"/>
    <mergeCell ref="D16:E17"/>
    <mergeCell ref="B7:C7"/>
    <mergeCell ref="E24:F24"/>
    <mergeCell ref="A51:H51"/>
    <mergeCell ref="D12:E13"/>
    <mergeCell ref="G27:H27"/>
    <mergeCell ref="E23:F23"/>
    <mergeCell ref="E7:H7"/>
    <mergeCell ref="A11:H11"/>
    <mergeCell ref="G23:H23"/>
    <mergeCell ref="A45:H45"/>
    <mergeCell ref="A49:H49"/>
    <mergeCell ref="A1:H3"/>
    <mergeCell ref="A6:H6"/>
    <mergeCell ref="B39:C39"/>
    <mergeCell ref="E29:F29"/>
    <mergeCell ref="E28:F28"/>
    <mergeCell ref="G28:H28"/>
    <mergeCell ref="D14:E15"/>
    <mergeCell ref="F14:G15"/>
    <mergeCell ref="A46:H46"/>
    <mergeCell ref="E31:F31"/>
    <mergeCell ref="B38:C38"/>
    <mergeCell ref="A21:H21"/>
    <mergeCell ref="E30:F30"/>
    <mergeCell ref="B16:C17"/>
    <mergeCell ref="G24:H24"/>
    <mergeCell ref="G30:H30"/>
    <mergeCell ref="F16:G17"/>
    <mergeCell ref="B34:C34"/>
    <mergeCell ref="B37:C37"/>
    <mergeCell ref="E27:F27"/>
    <mergeCell ref="A33:H33"/>
    <mergeCell ref="A47:H47"/>
    <mergeCell ref="B40:C40"/>
    <mergeCell ref="B9:C9"/>
    <mergeCell ref="E26:F26"/>
    <mergeCell ref="G26:H26"/>
    <mergeCell ref="G29:H29"/>
    <mergeCell ref="A4:H4"/>
    <mergeCell ref="B8:H8"/>
    <mergeCell ref="B12:C13"/>
    <mergeCell ref="E9:H9"/>
    <mergeCell ref="F12:G13"/>
    <mergeCell ref="E25:F25"/>
    <mergeCell ref="G25:H25"/>
    <mergeCell ref="B36:C36"/>
    <mergeCell ref="E22:F22"/>
    <mergeCell ref="G31:H31"/>
    <mergeCell ref="B14:C15"/>
    <mergeCell ref="G22:H22"/>
    <mergeCell ref="B41:C41"/>
    <mergeCell ref="A44:H44"/>
    <mergeCell ref="B19:H19"/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2026-02-21T20:55:24Z</dcterms:created>
  <dcterms:modified xmlns:dcterms="http://purl.org/dc/terms/" xmlns:xsi="http://www.w3.org/2001/XMLSchema-instance" xsi:type="dcterms:W3CDTF">2026-02-21T20:55:24Z</dcterms:modified>
</cp:coreProperties>
</file>