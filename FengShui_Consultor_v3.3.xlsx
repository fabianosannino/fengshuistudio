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Ba Gua Automático" sheetId="1" state="visible" r:id="rId1"/>
    <sheet xmlns:r="http://schemas.openxmlformats.org/officeDocument/2006/relationships" name="👤 Cliente" sheetId="2" state="visible" r:id="rId2"/>
    <sheet xmlns:r="http://schemas.openxmlformats.org/officeDocument/2006/relationships" name="🔍 Diagnóstico" sheetId="3" state="visible" r:id="rId3"/>
    <sheet xmlns:r="http://schemas.openxmlformats.org/officeDocument/2006/relationships" name="📊 Score Energético" sheetId="4" state="visible" r:id="rId4"/>
    <sheet xmlns:r="http://schemas.openxmlformats.org/officeDocument/2006/relationships" name="🕸️ Mapa Radar" sheetId="5" state="visible" r:id="rId5"/>
    <sheet xmlns:r="http://schemas.openxmlformats.org/officeDocument/2006/relationships" name="💊 Prescrições" sheetId="6" state="visible" r:id="rId6"/>
    <sheet xmlns:r="http://schemas.openxmlformats.org/officeDocument/2006/relationships" name="📄 Relatório" sheetId="7" state="visible" r:id="rId7"/>
    <sheet xmlns:r="http://schemas.openxmlformats.org/officeDocument/2006/relationships" name="⚙️ Apps Script (PDF)" sheetId="8" state="visible" r:id="rId8"/>
    <sheet xmlns:r="http://schemas.openxmlformats.org/officeDocument/2006/relationships" name="📅 Cronograma Lunar" sheetId="9" state="visible" r:id="rId9"/>
    <sheet xmlns:r="http://schemas.openxmlformats.org/officeDocument/2006/relationships" name="🔐 Senha e Acesso" sheetId="10" state="visible" r:id="rId10"/>
  </sheets>
  <definedNames/>
  <calcPr calcId="124519" fullCalcOnLoad="1"/>
</workbook>
</file>

<file path=xl/styles.xml><?xml version="1.0" encoding="utf-8"?>
<styleSheet xmlns="http://schemas.openxmlformats.org/spreadsheetml/2006/main">
  <numFmts count="0"/>
  <fonts count="90">
    <font>
      <name val="Calibri"/>
      <family val="2"/>
      <color theme="1"/>
      <sz val="11"/>
      <scheme val="minor"/>
    </font>
    <font>
      <name val="Arial"/>
      <b val="1"/>
      <color rgb="00FFFFFF"/>
      <sz val="18"/>
    </font>
    <font>
      <name val="Arial"/>
      <i val="1"/>
      <color rgb="001A5276"/>
      <sz val="10"/>
    </font>
    <font>
      <name val="Arial"/>
      <b val="1"/>
      <color rgb="004A235A"/>
      <sz val="11"/>
    </font>
    <font>
      <name val="Arial"/>
      <b val="1"/>
      <color rgb="00B7950B"/>
      <sz val="12"/>
    </font>
    <font>
      <name val="Arial"/>
      <i val="1"/>
      <color rgb="00808080"/>
      <sz val="9"/>
    </font>
    <font>
      <name val="Arial"/>
      <b val="1"/>
      <color rgb="00AAAAAA"/>
      <sz val="8"/>
    </font>
    <font>
      <name val="Arial"/>
      <color rgb="00AAAAAA"/>
      <sz val="8"/>
    </font>
    <font>
      <name val="Arial"/>
      <b val="1"/>
      <color rgb="00FFFFFF"/>
      <sz val="12"/>
    </font>
    <font>
      <name val="Arial"/>
      <b val="1"/>
      <color rgb="00808080"/>
      <sz val="9"/>
    </font>
    <font>
      <name val="Arial"/>
      <i val="1"/>
      <color rgb="00AAAAAA"/>
      <sz val="9"/>
    </font>
    <font>
      <name val="Arial"/>
      <color rgb="00566573"/>
      <sz val="9"/>
    </font>
    <font>
      <name val="Arial"/>
      <color rgb="001C2833"/>
      <sz val="10"/>
    </font>
    <font>
      <name val="Arial"/>
      <b val="1"/>
      <color rgb="00FFFFFF"/>
      <sz val="16"/>
    </font>
    <font>
      <name val="Arial"/>
      <b val="1"/>
      <color rgb="004A235A"/>
      <sz val="10"/>
    </font>
    <font>
      <name val="Arial"/>
      <b val="1"/>
      <color rgb="00FFFFFF"/>
      <sz val="10"/>
    </font>
    <font>
      <name val="Arial"/>
      <b val="1"/>
      <color rgb="007B241C"/>
      <sz val="10"/>
    </font>
    <font>
      <name val="Arial"/>
      <b val="1"/>
      <color rgb="00784212"/>
      <sz val="10"/>
    </font>
    <font>
      <name val="Arial"/>
      <b val="1"/>
      <color rgb="0076448A"/>
      <sz val="10"/>
    </font>
    <font>
      <name val="Arial"/>
      <b val="1"/>
      <color rgb="001A5276"/>
      <sz val="10"/>
    </font>
    <font>
      <name val="Arial"/>
      <b val="1"/>
      <color rgb="001E8449"/>
      <sz val="10"/>
    </font>
    <font>
      <name val="Arial"/>
      <b val="1"/>
      <color rgb="00922B21"/>
      <sz val="10"/>
    </font>
    <font>
      <name val="Arial"/>
      <b val="1"/>
      <color rgb="000E6655"/>
      <sz val="10"/>
    </font>
    <font>
      <name val="Arial"/>
      <b val="1"/>
      <color rgb="00566573"/>
      <sz val="10"/>
    </font>
    <font>
      <name val="Arial"/>
      <i val="1"/>
      <color rgb="004A235A"/>
      <sz val="10"/>
    </font>
    <font>
      <name val="Arial"/>
      <b val="1"/>
      <color rgb="00FFFFFF"/>
      <sz val="9"/>
    </font>
    <font>
      <name val="Arial"/>
      <b val="1"/>
      <color rgb="007B241C"/>
      <sz val="9"/>
    </font>
    <font>
      <name val="Arial"/>
      <i val="1"/>
      <color rgb="007B241C"/>
      <sz val="9"/>
    </font>
    <font>
      <name val="Arial"/>
      <i val="1"/>
      <color rgb="00808080"/>
      <sz val="8"/>
    </font>
    <font>
      <name val="Arial"/>
      <color rgb="001C2833"/>
      <sz val="9"/>
    </font>
    <font>
      <name val="Arial"/>
      <b val="1"/>
      <color rgb="007B241C"/>
      <sz val="12"/>
    </font>
    <font>
      <name val="Arial"/>
      <b val="1"/>
      <color rgb="00922B21"/>
      <sz val="9"/>
    </font>
    <font>
      <name val="Arial"/>
      <i val="1"/>
      <color rgb="00922B21"/>
      <sz val="9"/>
    </font>
    <font>
      <name val="Arial"/>
      <b val="1"/>
      <color rgb="00922B21"/>
      <sz val="12"/>
    </font>
    <font>
      <name val="Arial"/>
      <b val="1"/>
      <color rgb="0076448A"/>
      <sz val="9"/>
    </font>
    <font>
      <name val="Arial"/>
      <i val="1"/>
      <color rgb="0076448A"/>
      <sz val="9"/>
    </font>
    <font>
      <name val="Arial"/>
      <b val="1"/>
      <color rgb="0076448A"/>
      <sz val="12"/>
    </font>
    <font>
      <name val="Arial"/>
      <b val="1"/>
      <color rgb="001E8449"/>
      <sz val="9"/>
    </font>
    <font>
      <name val="Arial"/>
      <i val="1"/>
      <color rgb="001E8449"/>
      <sz val="9"/>
    </font>
    <font>
      <name val="Arial"/>
      <b val="1"/>
      <color rgb="001E8449"/>
      <sz val="12"/>
    </font>
    <font>
      <name val="Arial"/>
      <b val="1"/>
      <color rgb="00784212"/>
      <sz val="9"/>
    </font>
    <font>
      <name val="Arial"/>
      <i val="1"/>
      <color rgb="00784212"/>
      <sz val="9"/>
    </font>
    <font>
      <name val="Arial"/>
      <b val="1"/>
      <color rgb="00784212"/>
      <sz val="12"/>
    </font>
    <font>
      <name val="Arial"/>
      <b val="1"/>
      <color rgb="001A5276"/>
      <sz val="9"/>
    </font>
    <font>
      <name val="Arial"/>
      <i val="1"/>
      <color rgb="001A5276"/>
      <sz val="9"/>
    </font>
    <font>
      <name val="Arial"/>
      <b val="1"/>
      <color rgb="001A5276"/>
      <sz val="12"/>
    </font>
    <font>
      <name val="Arial"/>
      <b val="1"/>
      <color rgb="000E6655"/>
      <sz val="9"/>
    </font>
    <font>
      <name val="Arial"/>
      <i val="1"/>
      <color rgb="000E6655"/>
      <sz val="9"/>
    </font>
    <font>
      <name val="Arial"/>
      <b val="1"/>
      <color rgb="000E6655"/>
      <sz val="12"/>
    </font>
    <font>
      <name val="Arial"/>
      <b val="1"/>
      <color rgb="00566573"/>
      <sz val="9"/>
    </font>
    <font>
      <name val="Arial"/>
      <i val="1"/>
      <color rgb="00566573"/>
      <sz val="9"/>
    </font>
    <font>
      <name val="Arial"/>
      <b val="1"/>
      <color rgb="00566573"/>
      <sz val="12"/>
    </font>
    <font>
      <name val="Arial"/>
      <color rgb="001E8449"/>
      <sz val="10"/>
    </font>
    <font>
      <name val="Arial"/>
      <b val="1"/>
      <color rgb="00B7950B"/>
      <sz val="10"/>
    </font>
    <font>
      <name val="Arial"/>
      <color rgb="00B7950B"/>
      <sz val="10"/>
    </font>
    <font>
      <name val="Arial"/>
      <b val="1"/>
      <color rgb="00BA4A00"/>
      <sz val="10"/>
    </font>
    <font>
      <name val="Arial"/>
      <color rgb="00BA4A00"/>
      <sz val="10"/>
    </font>
    <font>
      <name val="Arial"/>
      <color rgb="00922B21"/>
      <sz val="10"/>
    </font>
    <font>
      <name val="Arial"/>
      <b val="1"/>
      <color rgb="001C2833"/>
      <sz val="10"/>
    </font>
    <font>
      <name val="Arial"/>
      <b val="1"/>
      <color rgb="001C2833"/>
      <sz val="12"/>
    </font>
    <font>
      <name val="Arial"/>
      <color rgb="00566573"/>
      <sz val="10"/>
    </font>
    <font>
      <name val="Arial"/>
      <b val="1"/>
      <color rgb="001C2833"/>
      <sz val="11"/>
    </font>
    <font>
      <name val="Arial"/>
      <i val="1"/>
      <color rgb="001E8449"/>
      <sz val="10"/>
    </font>
    <font>
      <name val="Arial"/>
      <b val="1"/>
      <color rgb="00922B21"/>
      <sz val="11"/>
    </font>
    <font>
      <name val="Arial"/>
      <b val="1"/>
      <color rgb="00BA4A00"/>
      <sz val="12"/>
    </font>
    <font>
      <name val="Arial"/>
      <b val="1"/>
      <color rgb="00BA4A00"/>
      <sz val="11"/>
    </font>
    <font>
      <name val="Arial"/>
      <b val="1"/>
      <color rgb="001E8449"/>
      <sz val="11"/>
    </font>
    <font>
      <name val="Arial"/>
      <i val="1"/>
      <color rgb="004A235A"/>
      <sz val="8"/>
    </font>
    <font>
      <name val="Arial"/>
      <i val="1"/>
      <color rgb="001A5276"/>
      <sz val="8"/>
    </font>
    <font>
      <name val="Arial"/>
      <i val="1"/>
      <color rgb="007D3C98"/>
      <sz val="11"/>
    </font>
    <font>
      <name val="Arial"/>
      <b val="1"/>
      <color rgb="007B241C"/>
      <sz val="11"/>
    </font>
    <font>
      <name val="Arial"/>
      <b val="1"/>
      <color rgb="0076448A"/>
      <sz val="11"/>
    </font>
    <font>
      <name val="Arial"/>
      <b val="1"/>
      <color rgb="00784212"/>
      <sz val="11"/>
    </font>
    <font>
      <name val="Arial"/>
      <b val="1"/>
      <color rgb="001A5276"/>
      <sz val="11"/>
    </font>
    <font>
      <name val="Arial"/>
      <b val="1"/>
      <color rgb="000E6655"/>
      <sz val="11"/>
    </font>
    <font>
      <name val="Arial"/>
      <b val="1"/>
      <color rgb="00566573"/>
      <sz val="11"/>
    </font>
    <font>
      <name val="Arial"/>
      <color rgb="004A235A"/>
      <sz val="9"/>
    </font>
    <font>
      <name val="Arial"/>
      <b val="1"/>
      <color rgb="00FFFFFF"/>
      <sz val="15"/>
    </font>
    <font>
      <name val="Arial"/>
      <b val="1"/>
      <color rgb="003B3B3B"/>
      <sz val="10"/>
    </font>
    <font>
      <name val="Arial"/>
      <i val="1"/>
      <color rgb="003B3B3B"/>
      <sz val="10"/>
    </font>
    <font>
      <name val="Arial"/>
      <color rgb="003B3B3B"/>
      <sz val="10"/>
    </font>
    <font>
      <name val="Arial"/>
      <b val="1"/>
      <color rgb="007D6608"/>
      <sz val="10"/>
    </font>
    <font>
      <name val="Arial"/>
      <i val="1"/>
      <color rgb="007D6608"/>
      <sz val="10"/>
    </font>
    <font>
      <name val="Arial"/>
      <color rgb="007D6608"/>
      <sz val="10"/>
    </font>
    <font>
      <name val="Arial"/>
      <b val="1"/>
      <color rgb="007D3C98"/>
      <sz val="10"/>
    </font>
    <font>
      <name val="Arial"/>
      <i val="1"/>
      <color rgb="007D3C98"/>
      <sz val="10"/>
    </font>
    <font>
      <name val="Arial"/>
      <color rgb="007D3C98"/>
      <sz val="10"/>
    </font>
    <font>
      <name val="Arial"/>
      <color rgb="001A5276"/>
      <sz val="10"/>
    </font>
    <font>
      <name val="Arial"/>
      <color rgb="004A235A"/>
      <sz val="14"/>
    </font>
    <font>
      <name val="Courier New"/>
      <color rgb="00D4D4D4"/>
      <sz val="9"/>
    </font>
  </fonts>
  <fills count="33">
    <fill>
      <patternFill/>
    </fill>
    <fill>
      <patternFill patternType="gray125"/>
    </fill>
    <fill>
      <patternFill patternType="solid">
        <fgColor rgb="004A235A"/>
      </patternFill>
    </fill>
    <fill>
      <patternFill patternType="solid">
        <fgColor rgb="00D6EAF8"/>
      </patternFill>
    </fill>
    <fill>
      <patternFill patternType="solid">
        <fgColor rgb="00F2F3F4"/>
      </patternFill>
    </fill>
    <fill>
      <patternFill patternType="solid">
        <fgColor rgb="00FCF3CF"/>
      </patternFill>
    </fill>
    <fill>
      <patternFill patternType="solid">
        <fgColor rgb="00F5EEF8"/>
      </patternFill>
    </fill>
    <fill>
      <patternFill patternType="solid">
        <fgColor rgb="00FFFFFF"/>
      </patternFill>
    </fill>
    <fill>
      <patternFill patternType="solid">
        <fgColor rgb="007D3C98"/>
      </patternFill>
    </fill>
    <fill>
      <patternFill patternType="solid">
        <fgColor rgb="00FDEDEC"/>
      </patternFill>
    </fill>
    <fill>
      <patternFill patternType="solid">
        <fgColor rgb="00FEF9E7"/>
      </patternFill>
    </fill>
    <fill>
      <patternFill patternType="solid">
        <fgColor rgb="00EAF2F8"/>
      </patternFill>
    </fill>
    <fill>
      <patternFill patternType="solid">
        <fgColor rgb="00E9F7EF"/>
      </patternFill>
    </fill>
    <fill>
      <patternFill patternType="solid">
        <fgColor rgb="00E8F8F5"/>
      </patternFill>
    </fill>
    <fill>
      <patternFill patternType="solid">
        <fgColor rgb="00F0F3F4"/>
      </patternFill>
    </fill>
    <fill>
      <patternFill patternType="solid">
        <fgColor rgb="007B241C"/>
      </patternFill>
    </fill>
    <fill>
      <patternFill patternType="solid">
        <fgColor rgb="00922B21"/>
      </patternFill>
    </fill>
    <fill>
      <patternFill patternType="solid">
        <fgColor rgb="0076448A"/>
      </patternFill>
    </fill>
    <fill>
      <patternFill patternType="solid">
        <fgColor rgb="001E8449"/>
      </patternFill>
    </fill>
    <fill>
      <patternFill patternType="solid">
        <fgColor rgb="00784212"/>
      </patternFill>
    </fill>
    <fill>
      <patternFill patternType="solid">
        <fgColor rgb="001A5276"/>
      </patternFill>
    </fill>
    <fill>
      <patternFill patternType="solid">
        <fgColor rgb="000E6655"/>
      </patternFill>
    </fill>
    <fill>
      <patternFill patternType="solid">
        <fgColor rgb="00566573"/>
      </patternFill>
    </fill>
    <fill>
      <patternFill patternType="solid">
        <fgColor rgb="00D5F5E3"/>
      </patternFill>
    </fill>
    <fill>
      <patternFill patternType="solid">
        <fgColor rgb="00FAE5D3"/>
      </patternFill>
    </fill>
    <fill>
      <patternFill patternType="solid">
        <fgColor rgb="00FADBD8"/>
      </patternFill>
    </fill>
    <fill>
      <patternFill patternType="solid">
        <fgColor rgb="00BA4A00"/>
      </patternFill>
    </fill>
    <fill>
      <patternFill patternType="solid">
        <fgColor rgb="00F8F9F9"/>
      </patternFill>
    </fill>
    <fill>
      <patternFill patternType="solid">
        <fgColor rgb="003B3B3B"/>
      </patternFill>
    </fill>
    <fill>
      <patternFill patternType="solid">
        <fgColor rgb="007D6608"/>
      </patternFill>
    </fill>
    <fill>
      <patternFill patternType="solid">
        <fgColor rgb="00EBF5FB"/>
      </patternFill>
    </fill>
    <fill>
      <patternFill patternType="solid">
        <fgColor rgb="001E1E1E"/>
      </patternFill>
    </fill>
    <fill>
      <patternFill patternType="solid">
        <fgColor rgb="00333333"/>
      </patternFill>
    </fill>
  </fills>
  <borders count="123">
    <border>
      <left/>
      <right/>
      <top/>
      <bottom/>
      <diagonal/>
    </border>
    <border>
      <left style="thin">
        <color rgb="00BFC9CA"/>
      </left>
      <right style="thin">
        <color rgb="00BFC9CA"/>
      </right>
      <top style="thin">
        <color rgb="00BFC9CA"/>
      </top>
      <bottom style="thin">
        <color rgb="00BFC9CA"/>
      </bottom>
    </border>
    <border>
      <left/>
      <right/>
      <top style="thin">
        <color rgb="00BFC9CA"/>
      </top>
      <bottom/>
      <diagonal/>
    </border>
    <border>
      <left/>
      <right style="thin">
        <color rgb="00BFC9CA"/>
      </right>
      <top style="thin">
        <color rgb="00BFC9CA"/>
      </top>
      <bottom/>
      <diagonal/>
    </border>
    <border>
      <left/>
      <right/>
      <top style="thin">
        <color rgb="00BFC9CA"/>
      </top>
      <bottom style="thin">
        <color rgb="00BFC9CA"/>
      </bottom>
      <diagonal/>
    </border>
    <border>
      <left/>
      <right style="thin">
        <color rgb="00BFC9CA"/>
      </right>
      <top style="thin">
        <color rgb="00BFC9CA"/>
      </top>
      <bottom style="thin">
        <color rgb="00BFC9CA"/>
      </bottom>
      <diagonal/>
    </border>
    <border>
      <left style="medium">
        <color rgb="00B7950B"/>
      </left>
      <right style="medium">
        <color rgb="00B7950B"/>
      </right>
      <top style="medium">
        <color rgb="00B7950B"/>
      </top>
      <bottom style="medium">
        <color rgb="00B7950B"/>
      </bottom>
    </border>
    <border>
      <left/>
      <right/>
      <top style="medium">
        <color rgb="00B7950B"/>
      </top>
      <bottom/>
      <diagonal/>
    </border>
    <border>
      <left/>
      <right style="medium">
        <color rgb="00B7950B"/>
      </right>
      <top style="medium">
        <color rgb="00B7950B"/>
      </top>
      <bottom/>
      <diagonal/>
    </border>
    <border>
      <left/>
      <right/>
      <top style="medium">
        <color rgb="00B7950B"/>
      </top>
      <bottom style="medium">
        <color rgb="00B7950B"/>
      </bottom>
      <diagonal/>
    </border>
    <border>
      <left/>
      <right style="medium">
        <color rgb="00B7950B"/>
      </right>
      <top style="medium">
        <color rgb="00B7950B"/>
      </top>
      <bottom style="medium">
        <color rgb="00B7950B"/>
      </bottom>
      <diagonal/>
    </border>
    <border>
      <left style="medium">
        <color rgb="004A235A"/>
      </left>
      <right style="medium">
        <color rgb="004A235A"/>
      </right>
      <top style="medium">
        <color rgb="004A235A"/>
      </top>
      <bottom style="medium">
        <color rgb="004A235A"/>
      </bottom>
    </border>
    <border>
      <left/>
      <right/>
      <top style="medium">
        <color rgb="004A235A"/>
      </top>
      <bottom/>
      <diagonal/>
    </border>
    <border>
      <left/>
      <right style="medium">
        <color rgb="004A235A"/>
      </right>
      <top style="medium">
        <color rgb="004A235A"/>
      </top>
      <bottom/>
      <diagonal/>
    </border>
    <border>
      <left/>
      <right/>
      <top style="medium">
        <color rgb="004A235A"/>
      </top>
      <bottom style="medium">
        <color rgb="004A235A"/>
      </bottom>
      <diagonal/>
    </border>
    <border>
      <left/>
      <right style="medium">
        <color rgb="004A235A"/>
      </right>
      <top style="medium">
        <color rgb="004A235A"/>
      </top>
      <bottom style="medium">
        <color rgb="004A235A"/>
      </bottom>
      <diagonal/>
    </border>
    <border>
      <left style="medium">
        <color rgb="007D3C98"/>
      </left>
      <right style="medium">
        <color rgb="007D3C98"/>
      </right>
      <top style="medium">
        <color rgb="007D3C98"/>
      </top>
      <bottom style="medium">
        <color rgb="007D3C98"/>
      </bottom>
    </border>
    <border>
      <left/>
      <right/>
      <top style="medium">
        <color rgb="007D3C98"/>
      </top>
      <bottom/>
      <diagonal/>
    </border>
    <border>
      <left/>
      <right style="medium">
        <color rgb="007D3C98"/>
      </right>
      <top style="medium">
        <color rgb="007D3C98"/>
      </top>
      <bottom/>
      <diagonal/>
    </border>
    <border>
      <left/>
      <right/>
      <top style="medium">
        <color rgb="007D3C98"/>
      </top>
      <bottom style="medium">
        <color rgb="007D3C98"/>
      </bottom>
      <diagonal/>
    </border>
    <border>
      <left/>
      <right style="medium">
        <color rgb="007D3C98"/>
      </right>
      <top style="medium">
        <color rgb="007D3C98"/>
      </top>
      <bottom style="medium">
        <color rgb="007D3C98"/>
      </bottom>
      <diagonal/>
    </border>
    <border>
      <left style="thin">
        <color rgb="00FFFFFF"/>
      </left>
      <right style="thin">
        <color rgb="00FFFFFF"/>
      </right>
      <top style="thin">
        <color rgb="00FFFFFF"/>
      </top>
      <bottom style="thin">
        <color rgb="00FFFFFF"/>
      </bottom>
    </border>
    <border>
      <left/>
      <right/>
      <top style="thin">
        <color rgb="00FFFFFF"/>
      </top>
      <bottom/>
      <diagonal/>
    </border>
    <border>
      <left/>
      <right style="thin">
        <color rgb="00FFFFFF"/>
      </right>
      <top style="thin">
        <color rgb="00FFFFFF"/>
      </top>
      <bottom/>
      <diagonal/>
    </border>
    <border>
      <left/>
      <right style="thin">
        <color rgb="00FFFFFF"/>
      </right>
      <top style="thin">
        <color rgb="00FFFFFF"/>
      </top>
      <bottom style="thin">
        <color rgb="00FFFFFF"/>
      </bottom>
      <diagonal/>
    </border>
    <border>
      <left style="medium">
        <color rgb="007B241C"/>
      </left>
      <right style="medium">
        <color rgb="007B241C"/>
      </right>
      <top style="medium">
        <color rgb="007B241C"/>
      </top>
      <bottom style="medium">
        <color rgb="007B241C"/>
      </bottom>
    </border>
    <border>
      <left/>
      <right/>
      <top style="medium">
        <color rgb="007B241C"/>
      </top>
      <bottom/>
      <diagonal/>
    </border>
    <border>
      <left/>
      <right style="medium">
        <color rgb="007B241C"/>
      </right>
      <top style="medium">
        <color rgb="007B241C"/>
      </top>
      <bottom/>
      <diagonal/>
    </border>
    <border>
      <left/>
      <right/>
      <top style="medium">
        <color rgb="007B241C"/>
      </top>
      <bottom style="medium">
        <color rgb="007B241C"/>
      </bottom>
      <diagonal/>
    </border>
    <border>
      <left/>
      <right style="medium">
        <color rgb="007B241C"/>
      </right>
      <top style="medium">
        <color rgb="007B241C"/>
      </top>
      <bottom style="medium">
        <color rgb="007B241C"/>
      </bottom>
      <diagonal/>
    </border>
    <border>
      <left style="medium">
        <color rgb="00922B21"/>
      </left>
      <right style="medium">
        <color rgb="00922B21"/>
      </right>
      <top style="medium">
        <color rgb="00922B21"/>
      </top>
      <bottom style="medium">
        <color rgb="00922B21"/>
      </bottom>
    </border>
    <border>
      <left/>
      <right/>
      <top style="medium">
        <color rgb="00922B21"/>
      </top>
      <bottom/>
      <diagonal/>
    </border>
    <border>
      <left/>
      <right style="medium">
        <color rgb="00922B21"/>
      </right>
      <top style="medium">
        <color rgb="00922B21"/>
      </top>
      <bottom/>
      <diagonal/>
    </border>
    <border>
      <left/>
      <right/>
      <top style="medium">
        <color rgb="00922B21"/>
      </top>
      <bottom style="medium">
        <color rgb="00922B21"/>
      </bottom>
      <diagonal/>
    </border>
    <border>
      <left/>
      <right style="medium">
        <color rgb="00922B21"/>
      </right>
      <top style="medium">
        <color rgb="00922B21"/>
      </top>
      <bottom style="medium">
        <color rgb="00922B21"/>
      </bottom>
      <diagonal/>
    </border>
    <border>
      <left style="medium">
        <color rgb="0076448A"/>
      </left>
      <right style="medium">
        <color rgb="0076448A"/>
      </right>
      <top style="medium">
        <color rgb="0076448A"/>
      </top>
      <bottom style="medium">
        <color rgb="0076448A"/>
      </bottom>
    </border>
    <border>
      <left/>
      <right/>
      <top style="medium">
        <color rgb="0076448A"/>
      </top>
      <bottom/>
      <diagonal/>
    </border>
    <border>
      <left/>
      <right style="medium">
        <color rgb="0076448A"/>
      </right>
      <top style="medium">
        <color rgb="0076448A"/>
      </top>
      <bottom/>
      <diagonal/>
    </border>
    <border>
      <left/>
      <right/>
      <top style="medium">
        <color rgb="0076448A"/>
      </top>
      <bottom style="medium">
        <color rgb="0076448A"/>
      </bottom>
      <diagonal/>
    </border>
    <border>
      <left/>
      <right style="medium">
        <color rgb="0076448A"/>
      </right>
      <top style="medium">
        <color rgb="0076448A"/>
      </top>
      <bottom style="medium">
        <color rgb="0076448A"/>
      </bottom>
      <diagonal/>
    </border>
    <border>
      <left style="medium">
        <color rgb="001E8449"/>
      </left>
      <right style="medium">
        <color rgb="001E8449"/>
      </right>
      <top style="medium">
        <color rgb="001E8449"/>
      </top>
      <bottom style="medium">
        <color rgb="001E8449"/>
      </bottom>
    </border>
    <border>
      <left/>
      <right/>
      <top style="medium">
        <color rgb="001E8449"/>
      </top>
      <bottom/>
      <diagonal/>
    </border>
    <border>
      <left/>
      <right style="medium">
        <color rgb="001E8449"/>
      </right>
      <top style="medium">
        <color rgb="001E8449"/>
      </top>
      <bottom/>
      <diagonal/>
    </border>
    <border>
      <left/>
      <right/>
      <top style="medium">
        <color rgb="001E8449"/>
      </top>
      <bottom style="medium">
        <color rgb="001E8449"/>
      </bottom>
      <diagonal/>
    </border>
    <border>
      <left/>
      <right style="medium">
        <color rgb="001E8449"/>
      </right>
      <top style="medium">
        <color rgb="001E8449"/>
      </top>
      <bottom style="medium">
        <color rgb="001E8449"/>
      </bottom>
      <diagonal/>
    </border>
    <border>
      <left style="medium">
        <color rgb="00784212"/>
      </left>
      <right style="medium">
        <color rgb="00784212"/>
      </right>
      <top style="medium">
        <color rgb="00784212"/>
      </top>
      <bottom style="medium">
        <color rgb="00784212"/>
      </bottom>
    </border>
    <border>
      <left/>
      <right/>
      <top style="medium">
        <color rgb="00784212"/>
      </top>
      <bottom/>
      <diagonal/>
    </border>
    <border>
      <left/>
      <right style="medium">
        <color rgb="00784212"/>
      </right>
      <top style="medium">
        <color rgb="00784212"/>
      </top>
      <bottom/>
      <diagonal/>
    </border>
    <border>
      <left/>
      <right/>
      <top style="medium">
        <color rgb="00784212"/>
      </top>
      <bottom style="medium">
        <color rgb="00784212"/>
      </bottom>
      <diagonal/>
    </border>
    <border>
      <left/>
      <right style="medium">
        <color rgb="00784212"/>
      </right>
      <top style="medium">
        <color rgb="00784212"/>
      </top>
      <bottom style="medium">
        <color rgb="00784212"/>
      </bottom>
      <diagonal/>
    </border>
    <border>
      <left style="medium">
        <color rgb="001A5276"/>
      </left>
      <right style="medium">
        <color rgb="001A5276"/>
      </right>
      <top style="medium">
        <color rgb="001A5276"/>
      </top>
      <bottom style="medium">
        <color rgb="001A5276"/>
      </bottom>
    </border>
    <border>
      <left/>
      <right/>
      <top style="medium">
        <color rgb="001A5276"/>
      </top>
      <bottom/>
      <diagonal/>
    </border>
    <border>
      <left/>
      <right style="medium">
        <color rgb="001A5276"/>
      </right>
      <top style="medium">
        <color rgb="001A5276"/>
      </top>
      <bottom/>
      <diagonal/>
    </border>
    <border>
      <left/>
      <right/>
      <top style="medium">
        <color rgb="001A5276"/>
      </top>
      <bottom style="medium">
        <color rgb="001A5276"/>
      </bottom>
      <diagonal/>
    </border>
    <border>
      <left/>
      <right style="medium">
        <color rgb="001A5276"/>
      </right>
      <top style="medium">
        <color rgb="001A5276"/>
      </top>
      <bottom style="medium">
        <color rgb="001A5276"/>
      </bottom>
      <diagonal/>
    </border>
    <border>
      <left style="medium">
        <color rgb="000E6655"/>
      </left>
      <right style="medium">
        <color rgb="000E6655"/>
      </right>
      <top style="medium">
        <color rgb="000E6655"/>
      </top>
      <bottom style="medium">
        <color rgb="000E6655"/>
      </bottom>
    </border>
    <border>
      <left/>
      <right/>
      <top style="medium">
        <color rgb="000E6655"/>
      </top>
      <bottom/>
      <diagonal/>
    </border>
    <border>
      <left/>
      <right style="medium">
        <color rgb="000E6655"/>
      </right>
      <top style="medium">
        <color rgb="000E6655"/>
      </top>
      <bottom/>
      <diagonal/>
    </border>
    <border>
      <left/>
      <right/>
      <top style="medium">
        <color rgb="000E6655"/>
      </top>
      <bottom style="medium">
        <color rgb="000E6655"/>
      </bottom>
      <diagonal/>
    </border>
    <border>
      <left/>
      <right style="medium">
        <color rgb="000E6655"/>
      </right>
      <top style="medium">
        <color rgb="000E6655"/>
      </top>
      <bottom style="medium">
        <color rgb="000E6655"/>
      </bottom>
      <diagonal/>
    </border>
    <border>
      <left style="medium">
        <color rgb="00566573"/>
      </left>
      <right style="medium">
        <color rgb="00566573"/>
      </right>
      <top style="medium">
        <color rgb="00566573"/>
      </top>
      <bottom style="medium">
        <color rgb="00566573"/>
      </bottom>
    </border>
    <border>
      <left/>
      <right/>
      <top style="medium">
        <color rgb="00566573"/>
      </top>
      <bottom/>
      <diagonal/>
    </border>
    <border>
      <left/>
      <right style="medium">
        <color rgb="00566573"/>
      </right>
      <top style="medium">
        <color rgb="00566573"/>
      </top>
      <bottom/>
      <diagonal/>
    </border>
    <border>
      <left/>
      <right/>
      <top style="medium">
        <color rgb="00566573"/>
      </top>
      <bottom style="medium">
        <color rgb="00566573"/>
      </bottom>
      <diagonal/>
    </border>
    <border>
      <left/>
      <right style="medium">
        <color rgb="00566573"/>
      </right>
      <top style="medium">
        <color rgb="00566573"/>
      </top>
      <bottom style="medium">
        <color rgb="00566573"/>
      </bottom>
      <diagonal/>
    </border>
    <border>
      <left style="thin">
        <color rgb="007B241C"/>
      </left>
      <right style="thin">
        <color rgb="007B241C"/>
      </right>
      <top style="thin">
        <color rgb="007B241C"/>
      </top>
      <bottom style="thin">
        <color rgb="007B241C"/>
      </bottom>
    </border>
    <border>
      <left/>
      <right/>
      <top style="thin">
        <color rgb="007B241C"/>
      </top>
      <bottom/>
      <diagonal/>
    </border>
    <border>
      <left/>
      <right style="thin">
        <color rgb="007B241C"/>
      </right>
      <top style="thin">
        <color rgb="007B241C"/>
      </top>
      <bottom/>
      <diagonal/>
    </border>
    <border>
      <left/>
      <right style="thin">
        <color rgb="007B241C"/>
      </right>
      <top style="thin">
        <color rgb="007B241C"/>
      </top>
      <bottom style="thin">
        <color rgb="007B241C"/>
      </bottom>
      <diagonal/>
    </border>
    <border>
      <left style="thin">
        <color rgb="00922B21"/>
      </left>
      <right style="thin">
        <color rgb="00922B21"/>
      </right>
      <top style="thin">
        <color rgb="00922B21"/>
      </top>
      <bottom style="thin">
        <color rgb="00922B21"/>
      </bottom>
    </border>
    <border>
      <left/>
      <right/>
      <top style="thin">
        <color rgb="00922B21"/>
      </top>
      <bottom/>
      <diagonal/>
    </border>
    <border>
      <left/>
      <right style="thin">
        <color rgb="00922B21"/>
      </right>
      <top style="thin">
        <color rgb="00922B21"/>
      </top>
      <bottom/>
      <diagonal/>
    </border>
    <border>
      <left/>
      <right style="thin">
        <color rgb="00922B21"/>
      </right>
      <top style="thin">
        <color rgb="00922B21"/>
      </top>
      <bottom style="thin">
        <color rgb="00922B21"/>
      </bottom>
      <diagonal/>
    </border>
    <border>
      <left style="thin">
        <color rgb="0076448A"/>
      </left>
      <right style="thin">
        <color rgb="0076448A"/>
      </right>
      <top style="thin">
        <color rgb="0076448A"/>
      </top>
      <bottom style="thin">
        <color rgb="0076448A"/>
      </bottom>
    </border>
    <border>
      <left/>
      <right/>
      <top style="thin">
        <color rgb="0076448A"/>
      </top>
      <bottom/>
      <diagonal/>
    </border>
    <border>
      <left/>
      <right style="thin">
        <color rgb="0076448A"/>
      </right>
      <top style="thin">
        <color rgb="0076448A"/>
      </top>
      <bottom/>
      <diagonal/>
    </border>
    <border>
      <left/>
      <right style="thin">
        <color rgb="0076448A"/>
      </right>
      <top style="thin">
        <color rgb="0076448A"/>
      </top>
      <bottom style="thin">
        <color rgb="0076448A"/>
      </bottom>
      <diagonal/>
    </border>
    <border>
      <left style="thin">
        <color rgb="001E8449"/>
      </left>
      <right style="thin">
        <color rgb="001E8449"/>
      </right>
      <top style="thin">
        <color rgb="001E8449"/>
      </top>
      <bottom style="thin">
        <color rgb="001E8449"/>
      </bottom>
    </border>
    <border>
      <left/>
      <right/>
      <top style="thin">
        <color rgb="001E8449"/>
      </top>
      <bottom/>
      <diagonal/>
    </border>
    <border>
      <left/>
      <right style="thin">
        <color rgb="001E8449"/>
      </right>
      <top style="thin">
        <color rgb="001E8449"/>
      </top>
      <bottom/>
      <diagonal/>
    </border>
    <border>
      <left/>
      <right style="thin">
        <color rgb="001E8449"/>
      </right>
      <top style="thin">
        <color rgb="001E8449"/>
      </top>
      <bottom style="thin">
        <color rgb="001E8449"/>
      </bottom>
      <diagonal/>
    </border>
    <border>
      <left style="thin">
        <color rgb="00784212"/>
      </left>
      <right style="thin">
        <color rgb="00784212"/>
      </right>
      <top style="thin">
        <color rgb="00784212"/>
      </top>
      <bottom style="thin">
        <color rgb="00784212"/>
      </bottom>
    </border>
    <border>
      <left/>
      <right/>
      <top style="thin">
        <color rgb="00784212"/>
      </top>
      <bottom/>
      <diagonal/>
    </border>
    <border>
      <left/>
      <right style="thin">
        <color rgb="00784212"/>
      </right>
      <top style="thin">
        <color rgb="00784212"/>
      </top>
      <bottom/>
      <diagonal/>
    </border>
    <border>
      <left/>
      <right style="thin">
        <color rgb="00784212"/>
      </right>
      <top style="thin">
        <color rgb="00784212"/>
      </top>
      <bottom style="thin">
        <color rgb="00784212"/>
      </bottom>
      <diagonal/>
    </border>
    <border>
      <left style="thin">
        <color rgb="001A5276"/>
      </left>
      <right style="thin">
        <color rgb="001A5276"/>
      </right>
      <top style="thin">
        <color rgb="001A5276"/>
      </top>
      <bottom style="thin">
        <color rgb="001A5276"/>
      </bottom>
    </border>
    <border>
      <left/>
      <right/>
      <top style="thin">
        <color rgb="001A5276"/>
      </top>
      <bottom/>
      <diagonal/>
    </border>
    <border>
      <left/>
      <right style="thin">
        <color rgb="001A5276"/>
      </right>
      <top style="thin">
        <color rgb="001A5276"/>
      </top>
      <bottom/>
      <diagonal/>
    </border>
    <border>
      <left/>
      <right style="thin">
        <color rgb="001A5276"/>
      </right>
      <top style="thin">
        <color rgb="001A5276"/>
      </top>
      <bottom style="thin">
        <color rgb="001A5276"/>
      </bottom>
      <diagonal/>
    </border>
    <border>
      <left style="thin">
        <color rgb="000E6655"/>
      </left>
      <right style="thin">
        <color rgb="000E6655"/>
      </right>
      <top style="thin">
        <color rgb="000E6655"/>
      </top>
      <bottom style="thin">
        <color rgb="000E6655"/>
      </bottom>
    </border>
    <border>
      <left/>
      <right/>
      <top style="thin">
        <color rgb="000E6655"/>
      </top>
      <bottom/>
      <diagonal/>
    </border>
    <border>
      <left/>
      <right style="thin">
        <color rgb="000E6655"/>
      </right>
      <top style="thin">
        <color rgb="000E6655"/>
      </top>
      <bottom/>
      <diagonal/>
    </border>
    <border>
      <left/>
      <right style="thin">
        <color rgb="000E6655"/>
      </right>
      <top style="thin">
        <color rgb="000E6655"/>
      </top>
      <bottom style="thin">
        <color rgb="000E6655"/>
      </bottom>
      <diagonal/>
    </border>
    <border>
      <left style="thin">
        <color rgb="00566573"/>
      </left>
      <right style="thin">
        <color rgb="00566573"/>
      </right>
      <top style="thin">
        <color rgb="00566573"/>
      </top>
      <bottom style="thin">
        <color rgb="00566573"/>
      </bottom>
    </border>
    <border>
      <left/>
      <right/>
      <top style="thin">
        <color rgb="00566573"/>
      </top>
      <bottom/>
      <diagonal/>
    </border>
    <border>
      <left/>
      <right style="thin">
        <color rgb="00566573"/>
      </right>
      <top style="thin">
        <color rgb="00566573"/>
      </top>
      <bottom/>
      <diagonal/>
    </border>
    <border>
      <left/>
      <right style="thin">
        <color rgb="00566573"/>
      </right>
      <top style="thin">
        <color rgb="00566573"/>
      </top>
      <bottom style="thin">
        <color rgb="00566573"/>
      </bottom>
      <diagonal/>
    </border>
    <border>
      <left/>
      <right/>
      <top style="thin">
        <color rgb="00FFFFFF"/>
      </top>
      <bottom style="thin">
        <color rgb="00FFFFFF"/>
      </bottom>
      <diagonal/>
    </border>
    <border>
      <left style="medium">
        <color rgb="00BA4A00"/>
      </left>
      <right style="medium">
        <color rgb="00BA4A00"/>
      </right>
      <top style="medium">
        <color rgb="00BA4A00"/>
      </top>
      <bottom style="medium">
        <color rgb="00BA4A00"/>
      </bottom>
    </border>
    <border>
      <left/>
      <right/>
      <top style="medium">
        <color rgb="00BA4A00"/>
      </top>
      <bottom/>
      <diagonal/>
    </border>
    <border>
      <left/>
      <right style="medium">
        <color rgb="00BA4A00"/>
      </right>
      <top style="medium">
        <color rgb="00BA4A00"/>
      </top>
      <bottom/>
      <diagonal/>
    </border>
    <border>
      <left/>
      <right/>
      <top style="medium">
        <color rgb="00BA4A00"/>
      </top>
      <bottom style="medium">
        <color rgb="00BA4A00"/>
      </bottom>
      <diagonal/>
    </border>
    <border>
      <left/>
      <right style="medium">
        <color rgb="00BA4A00"/>
      </right>
      <top style="medium">
        <color rgb="00BA4A00"/>
      </top>
      <bottom style="medium">
        <color rgb="00BA4A00"/>
      </bottom>
      <diagonal/>
    </border>
    <border>
      <left style="medium">
        <color rgb="003B3B3B"/>
      </left>
      <right style="medium">
        <color rgb="003B3B3B"/>
      </right>
      <top style="medium">
        <color rgb="003B3B3B"/>
      </top>
      <bottom style="medium">
        <color rgb="003B3B3B"/>
      </bottom>
    </border>
    <border>
      <left/>
      <right/>
      <top style="medium">
        <color rgb="003B3B3B"/>
      </top>
      <bottom/>
      <diagonal/>
    </border>
    <border>
      <left/>
      <right style="medium">
        <color rgb="003B3B3B"/>
      </right>
      <top style="medium">
        <color rgb="003B3B3B"/>
      </top>
      <bottom/>
      <diagonal/>
    </border>
    <border>
      <left/>
      <right/>
      <top style="medium">
        <color rgb="003B3B3B"/>
      </top>
      <bottom style="medium">
        <color rgb="003B3B3B"/>
      </bottom>
      <diagonal/>
    </border>
    <border>
      <left/>
      <right style="medium">
        <color rgb="003B3B3B"/>
      </right>
      <top style="medium">
        <color rgb="003B3B3B"/>
      </top>
      <bottom style="medium">
        <color rgb="003B3B3B"/>
      </bottom>
      <diagonal/>
    </border>
    <border>
      <left style="medium">
        <color rgb="007D6608"/>
      </left>
      <right style="medium">
        <color rgb="007D6608"/>
      </right>
      <top style="medium">
        <color rgb="007D6608"/>
      </top>
      <bottom style="medium">
        <color rgb="007D6608"/>
      </bottom>
    </border>
    <border>
      <left/>
      <right/>
      <top style="medium">
        <color rgb="007D6608"/>
      </top>
      <bottom/>
      <diagonal/>
    </border>
    <border>
      <left/>
      <right style="medium">
        <color rgb="007D6608"/>
      </right>
      <top style="medium">
        <color rgb="007D6608"/>
      </top>
      <bottom/>
      <diagonal/>
    </border>
    <border>
      <left/>
      <right/>
      <top style="medium">
        <color rgb="007D6608"/>
      </top>
      <bottom style="medium">
        <color rgb="007D6608"/>
      </bottom>
      <diagonal/>
    </border>
    <border>
      <left/>
      <right style="medium">
        <color rgb="007D6608"/>
      </right>
      <top style="medium">
        <color rgb="007D6608"/>
      </top>
      <bottom style="medium">
        <color rgb="007D6608"/>
      </bottom>
      <diagonal/>
    </border>
    <border>
      <left/>
      <right style="thin">
        <color rgb="00BFC9CA"/>
      </right>
      <top/>
      <bottom style="thin">
        <color rgb="00BFC9CA"/>
      </bottom>
      <diagonal/>
    </border>
    <border>
      <left/>
      <right style="thin">
        <color rgb="00BFC9CA"/>
      </right>
      <top/>
      <bottom/>
      <diagonal/>
    </border>
    <border>
      <left/>
      <right/>
      <top/>
      <bottom style="thin">
        <color rgb="00BFC9CA"/>
      </bottom>
      <diagonal/>
    </border>
    <border/>
    <border>
      <left style="thin">
        <color rgb="00333333"/>
      </left>
      <right style="thin">
        <color rgb="00333333"/>
      </right>
    </border>
    <border>
      <bottom style="medium">
        <color rgb="00555555"/>
      </bottom>
    </border>
    <border>
      <left/>
      <right style="thin">
        <color rgb="00333333"/>
      </right>
      <top/>
      <bottom/>
      <diagonal/>
    </border>
    <border>
      <left style="thin">
        <color rgb="00333333"/>
      </left>
      <right style="thin">
        <color rgb="00333333"/>
      </right>
      <bottom style="thin">
        <color rgb="00BFC9CA"/>
      </bottom>
    </border>
    <border>
      <left/>
      <right style="thin">
        <color rgb="00333333"/>
      </right>
      <top/>
      <bottom style="thin">
        <color rgb="00BFC9CA"/>
      </bottom>
      <diagonal/>
    </border>
    <border>
      <left/>
      <right/>
      <top/>
      <bottom style="medium">
        <color rgb="00555555"/>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0" fillId="0" borderId="4" pivotButton="0" quotePrefix="0" xfId="0"/>
    <xf numFmtId="0" fontId="0" fillId="0" borderId="5" pivotButton="0" quotePrefix="0" xfId="0"/>
    <xf numFmtId="0" fontId="3" fillId="4" borderId="1" applyAlignment="1" pivotButton="0" quotePrefix="0" xfId="0">
      <alignment horizontal="left" vertical="center"/>
    </xf>
    <xf numFmtId="0" fontId="4" fillId="5" borderId="6" applyAlignment="1" pivotButton="0" quotePrefix="0" xfId="0">
      <alignment horizontal="center" vertical="center"/>
    </xf>
    <xf numFmtId="0" fontId="0" fillId="0" borderId="9" pivotButton="0" quotePrefix="0" xfId="0"/>
    <xf numFmtId="0" fontId="0" fillId="0" borderId="10" pivotButton="0" quotePrefix="0" xfId="0"/>
    <xf numFmtId="0" fontId="5" fillId="4"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8" fillId="2" borderId="11" applyAlignment="1" pivotButton="0" quotePrefix="0" xfId="0">
      <alignment horizontal="left" vertical="center"/>
    </xf>
    <xf numFmtId="0" fontId="0" fillId="0" borderId="14" pivotButton="0" quotePrefix="0" xfId="0"/>
    <xf numFmtId="0" fontId="0" fillId="0" borderId="15" pivotButton="0" quotePrefix="0" xfId="0"/>
    <xf numFmtId="0" fontId="9" fillId="4" borderId="0" applyAlignment="1" pivotButton="0" quotePrefix="0" xfId="0">
      <alignment horizontal="center" vertical="center"/>
    </xf>
    <xf numFmtId="0" fontId="3" fillId="6" borderId="11" applyAlignment="1" pivotButton="0" quotePrefix="0" xfId="0">
      <alignment horizontal="center" vertical="center"/>
    </xf>
    <xf numFmtId="0" fontId="10" fillId="7" borderId="1" applyAlignment="1" pivotButton="0" quotePrefix="0" xfId="0">
      <alignment horizontal="center" vertical="center"/>
    </xf>
    <xf numFmtId="0" fontId="11" fillId="4" borderId="1" applyAlignment="1" pivotButton="0" quotePrefix="0" xfId="0">
      <alignment horizontal="center" vertical="center"/>
    </xf>
    <xf numFmtId="0" fontId="12" fillId="4" borderId="0" applyAlignment="1" pivotButton="0" quotePrefix="0" xfId="0">
      <alignment horizontal="left" vertical="center"/>
    </xf>
    <xf numFmtId="0" fontId="9" fillId="5" borderId="0" applyAlignment="1" pivotButton="0" quotePrefix="0" xfId="0">
      <alignment horizontal="center" vertical="center"/>
    </xf>
    <xf numFmtId="0" fontId="13" fillId="2" borderId="0" applyAlignment="1" pivotButton="0" quotePrefix="0" xfId="0">
      <alignment horizontal="center" vertical="center"/>
    </xf>
    <xf numFmtId="0" fontId="8" fillId="8" borderId="16" applyAlignment="1" pivotButton="0" quotePrefix="0" xfId="0">
      <alignment horizontal="left" vertical="center"/>
    </xf>
    <xf numFmtId="0" fontId="0" fillId="0" borderId="19" pivotButton="0" quotePrefix="0" xfId="0"/>
    <xf numFmtId="0" fontId="0" fillId="0" borderId="20" pivotButton="0" quotePrefix="0" xfId="0"/>
    <xf numFmtId="0" fontId="14" fillId="4" borderId="1" applyAlignment="1" pivotButton="0" quotePrefix="0" xfId="0">
      <alignment horizontal="left" vertical="center"/>
    </xf>
    <xf numFmtId="0" fontId="12" fillId="7" borderId="1" applyAlignment="1" pivotButton="0" quotePrefix="0" xfId="0">
      <alignment horizontal="left" vertical="center"/>
    </xf>
    <xf numFmtId="0" fontId="15" fillId="8" borderId="21" applyAlignment="1" pivotButton="0" quotePrefix="0" xfId="0">
      <alignment horizontal="center" vertical="center"/>
    </xf>
    <xf numFmtId="0" fontId="12" fillId="6" borderId="1" applyAlignment="1" pivotButton="0" quotePrefix="0" xfId="0">
      <alignment horizontal="left" vertical="center"/>
    </xf>
    <xf numFmtId="0" fontId="0" fillId="0" borderId="24" pivotButton="0" quotePrefix="0" xfId="0"/>
    <xf numFmtId="0" fontId="16" fillId="9" borderId="1" applyAlignment="1" pivotButton="0" quotePrefix="0" xfId="0">
      <alignment horizontal="left" vertical="center"/>
    </xf>
    <xf numFmtId="0" fontId="12" fillId="7" borderId="1" applyAlignment="1" pivotButton="0" quotePrefix="0" xfId="0">
      <alignment horizontal="center" vertical="center"/>
    </xf>
    <xf numFmtId="0" fontId="17" fillId="10" borderId="1" applyAlignment="1" pivotButton="0" quotePrefix="0" xfId="0">
      <alignment horizontal="left" vertical="center"/>
    </xf>
    <xf numFmtId="0" fontId="18" fillId="6" borderId="1" applyAlignment="1" pivotButton="0" quotePrefix="0" xfId="0">
      <alignment horizontal="left" vertical="center"/>
    </xf>
    <xf numFmtId="0" fontId="19" fillId="11" borderId="1" applyAlignment="1" pivotButton="0" quotePrefix="0" xfId="0">
      <alignment horizontal="left" vertical="center"/>
    </xf>
    <xf numFmtId="0" fontId="20" fillId="12" borderId="1" applyAlignment="1" pivotButton="0" quotePrefix="0" xfId="0">
      <alignment horizontal="left" vertical="center"/>
    </xf>
    <xf numFmtId="0" fontId="21" fillId="9" borderId="1" applyAlignment="1" pivotButton="0" quotePrefix="0" xfId="0">
      <alignment horizontal="left" vertical="center"/>
    </xf>
    <xf numFmtId="0" fontId="22" fillId="13" borderId="1" applyAlignment="1" pivotButton="0" quotePrefix="0" xfId="0">
      <alignment horizontal="left" vertical="center"/>
    </xf>
    <xf numFmtId="0" fontId="23" fillId="14" borderId="1" applyAlignment="1" pivotButton="0" quotePrefix="0" xfId="0">
      <alignment horizontal="left" vertical="center"/>
    </xf>
    <xf numFmtId="0" fontId="24" fillId="6" borderId="1" applyAlignment="1" pivotButton="0" quotePrefix="0" xfId="0">
      <alignment horizontal="left" vertical="center"/>
    </xf>
    <xf numFmtId="0" fontId="25" fillId="2" borderId="21" applyAlignment="1" pivotButton="0" quotePrefix="0" xfId="0">
      <alignment horizontal="center" vertical="center"/>
    </xf>
    <xf numFmtId="0" fontId="15" fillId="15" borderId="25" applyAlignment="1" pivotButton="0" quotePrefix="0" xfId="0">
      <alignment horizontal="left" vertical="center"/>
    </xf>
    <xf numFmtId="0" fontId="0" fillId="0" borderId="28" pivotButton="0" quotePrefix="0" xfId="0"/>
    <xf numFmtId="0" fontId="0" fillId="0" borderId="29" pivotButton="0" quotePrefix="0" xfId="0"/>
    <xf numFmtId="0" fontId="26" fillId="9" borderId="1" applyAlignment="1" pivotButton="0" quotePrefix="0" xfId="0">
      <alignment horizontal="left" vertical="center"/>
    </xf>
    <xf numFmtId="0" fontId="27" fillId="9" borderId="1" applyAlignment="1" pivotButton="0" quotePrefix="0" xfId="0">
      <alignment horizontal="left" vertical="center"/>
    </xf>
    <xf numFmtId="0" fontId="28" fillId="9" borderId="1" applyAlignment="1" pivotButton="0" quotePrefix="0" xfId="0">
      <alignment horizontal="left" vertical="center"/>
    </xf>
    <xf numFmtId="0" fontId="29" fillId="9" borderId="1" applyAlignment="1" pivotButton="0" quotePrefix="0" xfId="0">
      <alignment horizontal="left" vertical="center" wrapText="1"/>
    </xf>
    <xf numFmtId="0" fontId="26" fillId="7" borderId="1" applyAlignment="1" pivotButton="0" quotePrefix="0" xfId="0">
      <alignment horizontal="left" vertical="center"/>
    </xf>
    <xf numFmtId="0" fontId="28" fillId="7" borderId="1" applyAlignment="1" pivotButton="0" quotePrefix="0" xfId="0">
      <alignment horizontal="left" vertical="center"/>
    </xf>
    <xf numFmtId="0" fontId="29" fillId="7" borderId="1" applyAlignment="1" pivotButton="0" quotePrefix="0" xfId="0">
      <alignment horizontal="left" vertical="center" wrapText="1"/>
    </xf>
    <xf numFmtId="0" fontId="12" fillId="9" borderId="1" applyAlignment="1" pivotButton="0" quotePrefix="0" xfId="0">
      <alignment horizontal="left" vertical="center"/>
    </xf>
    <xf numFmtId="0" fontId="30" fillId="9" borderId="1" applyAlignment="1" pivotButton="0" quotePrefix="0" xfId="0">
      <alignment horizontal="center" vertical="center"/>
    </xf>
    <xf numFmtId="0" fontId="23" fillId="9" borderId="1" applyAlignment="1" pivotButton="0" quotePrefix="0" xfId="0">
      <alignment horizontal="center" vertical="center"/>
    </xf>
    <xf numFmtId="9" fontId="16" fillId="9" borderId="1" applyAlignment="1" pivotButton="0" quotePrefix="0" xfId="0">
      <alignment horizontal="center" vertical="center"/>
    </xf>
    <xf numFmtId="0" fontId="15" fillId="16" borderId="30" applyAlignment="1" pivotButton="0" quotePrefix="0" xfId="0">
      <alignment horizontal="left" vertical="center"/>
    </xf>
    <xf numFmtId="0" fontId="0" fillId="0" borderId="33" pivotButton="0" quotePrefix="0" xfId="0"/>
    <xf numFmtId="0" fontId="0" fillId="0" borderId="34" pivotButton="0" quotePrefix="0" xfId="0"/>
    <xf numFmtId="0" fontId="31" fillId="9" borderId="1" applyAlignment="1" pivotButton="0" quotePrefix="0" xfId="0">
      <alignment horizontal="left" vertical="center"/>
    </xf>
    <xf numFmtId="0" fontId="32" fillId="9" borderId="1" applyAlignment="1" pivotButton="0" quotePrefix="0" xfId="0">
      <alignment horizontal="left" vertical="center"/>
    </xf>
    <xf numFmtId="0" fontId="31" fillId="7" borderId="1" applyAlignment="1" pivotButton="0" quotePrefix="0" xfId="0">
      <alignment horizontal="left" vertical="center"/>
    </xf>
    <xf numFmtId="0" fontId="33" fillId="9" borderId="1" applyAlignment="1" pivotButton="0" quotePrefix="0" xfId="0">
      <alignment horizontal="center" vertical="center"/>
    </xf>
    <xf numFmtId="9" fontId="21" fillId="9" borderId="1" applyAlignment="1" pivotButton="0" quotePrefix="0" xfId="0">
      <alignment horizontal="center" vertical="center"/>
    </xf>
    <xf numFmtId="0" fontId="15" fillId="17" borderId="35" applyAlignment="1" pivotButton="0" quotePrefix="0" xfId="0">
      <alignment horizontal="left" vertical="center"/>
    </xf>
    <xf numFmtId="0" fontId="0" fillId="0" borderId="38" pivotButton="0" quotePrefix="0" xfId="0"/>
    <xf numFmtId="0" fontId="0" fillId="0" borderId="39" pivotButton="0" quotePrefix="0" xfId="0"/>
    <xf numFmtId="0" fontId="34" fillId="6" borderId="1" applyAlignment="1" pivotButton="0" quotePrefix="0" xfId="0">
      <alignment horizontal="left" vertical="center"/>
    </xf>
    <xf numFmtId="0" fontId="35" fillId="6" borderId="1" applyAlignment="1" pivotButton="0" quotePrefix="0" xfId="0">
      <alignment horizontal="left" vertical="center"/>
    </xf>
    <xf numFmtId="0" fontId="28" fillId="6" borderId="1" applyAlignment="1" pivotButton="0" quotePrefix="0" xfId="0">
      <alignment horizontal="left" vertical="center"/>
    </xf>
    <xf numFmtId="0" fontId="29" fillId="6" borderId="1" applyAlignment="1" pivotButton="0" quotePrefix="0" xfId="0">
      <alignment horizontal="left" vertical="center" wrapText="1"/>
    </xf>
    <xf numFmtId="0" fontId="34" fillId="7" borderId="1" applyAlignment="1" pivotButton="0" quotePrefix="0" xfId="0">
      <alignment horizontal="left" vertical="center"/>
    </xf>
    <xf numFmtId="0" fontId="36" fillId="6" borderId="1" applyAlignment="1" pivotButton="0" quotePrefix="0" xfId="0">
      <alignment horizontal="center" vertical="center"/>
    </xf>
    <xf numFmtId="0" fontId="23" fillId="6" borderId="1" applyAlignment="1" pivotButton="0" quotePrefix="0" xfId="0">
      <alignment horizontal="center" vertical="center"/>
    </xf>
    <xf numFmtId="9" fontId="18" fillId="6" borderId="1" applyAlignment="1" pivotButton="0" quotePrefix="0" xfId="0">
      <alignment horizontal="center" vertical="center"/>
    </xf>
    <xf numFmtId="0" fontId="15" fillId="18" borderId="40" applyAlignment="1" pivotButton="0" quotePrefix="0" xfId="0">
      <alignment horizontal="left" vertical="center"/>
    </xf>
    <xf numFmtId="0" fontId="0" fillId="0" borderId="43" pivotButton="0" quotePrefix="0" xfId="0"/>
    <xf numFmtId="0" fontId="0" fillId="0" borderId="44" pivotButton="0" quotePrefix="0" xfId="0"/>
    <xf numFmtId="0" fontId="37" fillId="12" borderId="1" applyAlignment="1" pivotButton="0" quotePrefix="0" xfId="0">
      <alignment horizontal="left" vertical="center"/>
    </xf>
    <xf numFmtId="0" fontId="38" fillId="12" borderId="1" applyAlignment="1" pivotButton="0" quotePrefix="0" xfId="0">
      <alignment horizontal="left" vertical="center"/>
    </xf>
    <xf numFmtId="0" fontId="28" fillId="12" borderId="1" applyAlignment="1" pivotButton="0" quotePrefix="0" xfId="0">
      <alignment horizontal="left" vertical="center"/>
    </xf>
    <xf numFmtId="0" fontId="29" fillId="12" borderId="1" applyAlignment="1" pivotButton="0" quotePrefix="0" xfId="0">
      <alignment horizontal="left" vertical="center" wrapText="1"/>
    </xf>
    <xf numFmtId="0" fontId="37" fillId="7" borderId="1" applyAlignment="1" pivotButton="0" quotePrefix="0" xfId="0">
      <alignment horizontal="left" vertical="center"/>
    </xf>
    <xf numFmtId="0" fontId="12" fillId="12" borderId="1" applyAlignment="1" pivotButton="0" quotePrefix="0" xfId="0">
      <alignment horizontal="left" vertical="center"/>
    </xf>
    <xf numFmtId="0" fontId="39" fillId="12" borderId="1" applyAlignment="1" pivotButton="0" quotePrefix="0" xfId="0">
      <alignment horizontal="center" vertical="center"/>
    </xf>
    <xf numFmtId="0" fontId="23" fillId="12" borderId="1" applyAlignment="1" pivotButton="0" quotePrefix="0" xfId="0">
      <alignment horizontal="center" vertical="center"/>
    </xf>
    <xf numFmtId="9" fontId="20" fillId="12" borderId="1" applyAlignment="1" pivotButton="0" quotePrefix="0" xfId="0">
      <alignment horizontal="center" vertical="center"/>
    </xf>
    <xf numFmtId="0" fontId="15" fillId="19" borderId="45" applyAlignment="1" pivotButton="0" quotePrefix="0" xfId="0">
      <alignment horizontal="left" vertical="center"/>
    </xf>
    <xf numFmtId="0" fontId="0" fillId="0" borderId="48" pivotButton="0" quotePrefix="0" xfId="0"/>
    <xf numFmtId="0" fontId="0" fillId="0" borderId="49" pivotButton="0" quotePrefix="0" xfId="0"/>
    <xf numFmtId="0" fontId="40" fillId="10" borderId="1" applyAlignment="1" pivotButton="0" quotePrefix="0" xfId="0">
      <alignment horizontal="left" vertical="center"/>
    </xf>
    <xf numFmtId="0" fontId="41" fillId="10" borderId="1" applyAlignment="1" pivotButton="0" quotePrefix="0" xfId="0">
      <alignment horizontal="left" vertical="center"/>
    </xf>
    <xf numFmtId="0" fontId="28" fillId="10" borderId="1" applyAlignment="1" pivotButton="0" quotePrefix="0" xfId="0">
      <alignment horizontal="left" vertical="center"/>
    </xf>
    <xf numFmtId="0" fontId="29" fillId="10" borderId="1" applyAlignment="1" pivotButton="0" quotePrefix="0" xfId="0">
      <alignment horizontal="left" vertical="center" wrapText="1"/>
    </xf>
    <xf numFmtId="0" fontId="40" fillId="7" borderId="1" applyAlignment="1" pivotButton="0" quotePrefix="0" xfId="0">
      <alignment horizontal="left" vertical="center"/>
    </xf>
    <xf numFmtId="0" fontId="12" fillId="10" borderId="1" applyAlignment="1" pivotButton="0" quotePrefix="0" xfId="0">
      <alignment horizontal="left" vertical="center"/>
    </xf>
    <xf numFmtId="0" fontId="42" fillId="10" borderId="1" applyAlignment="1" pivotButton="0" quotePrefix="0" xfId="0">
      <alignment horizontal="center" vertical="center"/>
    </xf>
    <xf numFmtId="0" fontId="23" fillId="10" borderId="1" applyAlignment="1" pivotButton="0" quotePrefix="0" xfId="0">
      <alignment horizontal="center" vertical="center"/>
    </xf>
    <xf numFmtId="9" fontId="17" fillId="10" borderId="1" applyAlignment="1" pivotButton="0" quotePrefix="0" xfId="0">
      <alignment horizontal="center" vertical="center"/>
    </xf>
    <xf numFmtId="0" fontId="15" fillId="20" borderId="50" applyAlignment="1" pivotButton="0" quotePrefix="0" xfId="0">
      <alignment horizontal="left" vertical="center"/>
    </xf>
    <xf numFmtId="0" fontId="0" fillId="0" borderId="53" pivotButton="0" quotePrefix="0" xfId="0"/>
    <xf numFmtId="0" fontId="0" fillId="0" borderId="54" pivotButton="0" quotePrefix="0" xfId="0"/>
    <xf numFmtId="0" fontId="43" fillId="11" borderId="1" applyAlignment="1" pivotButton="0" quotePrefix="0" xfId="0">
      <alignment horizontal="left" vertical="center"/>
    </xf>
    <xf numFmtId="0" fontId="44" fillId="11" borderId="1" applyAlignment="1" pivotButton="0" quotePrefix="0" xfId="0">
      <alignment horizontal="left" vertical="center"/>
    </xf>
    <xf numFmtId="0" fontId="28" fillId="11" borderId="1" applyAlignment="1" pivotButton="0" quotePrefix="0" xfId="0">
      <alignment horizontal="left" vertical="center"/>
    </xf>
    <xf numFmtId="0" fontId="29" fillId="11" borderId="1" applyAlignment="1" pivotButton="0" quotePrefix="0" xfId="0">
      <alignment horizontal="left" vertical="center" wrapText="1"/>
    </xf>
    <xf numFmtId="0" fontId="43" fillId="7" borderId="1" applyAlignment="1" pivotButton="0" quotePrefix="0" xfId="0">
      <alignment horizontal="left" vertical="center"/>
    </xf>
    <xf numFmtId="0" fontId="12" fillId="11" borderId="1" applyAlignment="1" pivotButton="0" quotePrefix="0" xfId="0">
      <alignment horizontal="left" vertical="center"/>
    </xf>
    <xf numFmtId="0" fontId="45" fillId="11" borderId="1" applyAlignment="1" pivotButton="0" quotePrefix="0" xfId="0">
      <alignment horizontal="center" vertical="center"/>
    </xf>
    <xf numFmtId="0" fontId="23" fillId="11" borderId="1" applyAlignment="1" pivotButton="0" quotePrefix="0" xfId="0">
      <alignment horizontal="center" vertical="center"/>
    </xf>
    <xf numFmtId="9" fontId="19" fillId="11" borderId="1" applyAlignment="1" pivotButton="0" quotePrefix="0" xfId="0">
      <alignment horizontal="center" vertical="center"/>
    </xf>
    <xf numFmtId="0" fontId="15" fillId="21" borderId="55" applyAlignment="1" pivotButton="0" quotePrefix="0" xfId="0">
      <alignment horizontal="left" vertical="center"/>
    </xf>
    <xf numFmtId="0" fontId="0" fillId="0" borderId="58" pivotButton="0" quotePrefix="0" xfId="0"/>
    <xf numFmtId="0" fontId="0" fillId="0" borderId="59" pivotButton="0" quotePrefix="0" xfId="0"/>
    <xf numFmtId="0" fontId="46" fillId="13" borderId="1" applyAlignment="1" pivotButton="0" quotePrefix="0" xfId="0">
      <alignment horizontal="left" vertical="center"/>
    </xf>
    <xf numFmtId="0" fontId="47" fillId="13" borderId="1" applyAlignment="1" pivotButton="0" quotePrefix="0" xfId="0">
      <alignment horizontal="left" vertical="center"/>
    </xf>
    <xf numFmtId="0" fontId="28" fillId="13" borderId="1" applyAlignment="1" pivotButton="0" quotePrefix="0" xfId="0">
      <alignment horizontal="left" vertical="center"/>
    </xf>
    <xf numFmtId="0" fontId="29" fillId="13" borderId="1" applyAlignment="1" pivotButton="0" quotePrefix="0" xfId="0">
      <alignment horizontal="left" vertical="center" wrapText="1"/>
    </xf>
    <xf numFmtId="0" fontId="46" fillId="7" borderId="1" applyAlignment="1" pivotButton="0" quotePrefix="0" xfId="0">
      <alignment horizontal="left" vertical="center"/>
    </xf>
    <xf numFmtId="0" fontId="12" fillId="13" borderId="1" applyAlignment="1" pivotButton="0" quotePrefix="0" xfId="0">
      <alignment horizontal="left" vertical="center"/>
    </xf>
    <xf numFmtId="0" fontId="48" fillId="13" borderId="1" applyAlignment="1" pivotButton="0" quotePrefix="0" xfId="0">
      <alignment horizontal="center" vertical="center"/>
    </xf>
    <xf numFmtId="0" fontId="23" fillId="13" borderId="1" applyAlignment="1" pivotButton="0" quotePrefix="0" xfId="0">
      <alignment horizontal="center" vertical="center"/>
    </xf>
    <xf numFmtId="9" fontId="22" fillId="13" borderId="1" applyAlignment="1" pivotButton="0" quotePrefix="0" xfId="0">
      <alignment horizontal="center" vertical="center"/>
    </xf>
    <xf numFmtId="0" fontId="15" fillId="22" borderId="60" applyAlignment="1" pivotButton="0" quotePrefix="0" xfId="0">
      <alignment horizontal="left" vertical="center"/>
    </xf>
    <xf numFmtId="0" fontId="0" fillId="0" borderId="63" pivotButton="0" quotePrefix="0" xfId="0"/>
    <xf numFmtId="0" fontId="0" fillId="0" borderId="64" pivotButton="0" quotePrefix="0" xfId="0"/>
    <xf numFmtId="0" fontId="49" fillId="14" borderId="1" applyAlignment="1" pivotButton="0" quotePrefix="0" xfId="0">
      <alignment horizontal="left" vertical="center"/>
    </xf>
    <xf numFmtId="0" fontId="50" fillId="14" borderId="1" applyAlignment="1" pivotButton="0" quotePrefix="0" xfId="0">
      <alignment horizontal="left" vertical="center"/>
    </xf>
    <xf numFmtId="0" fontId="28" fillId="14" borderId="1" applyAlignment="1" pivotButton="0" quotePrefix="0" xfId="0">
      <alignment horizontal="left" vertical="center"/>
    </xf>
    <xf numFmtId="0" fontId="29" fillId="14" borderId="1" applyAlignment="1" pivotButton="0" quotePrefix="0" xfId="0">
      <alignment horizontal="left" vertical="center" wrapText="1"/>
    </xf>
    <xf numFmtId="0" fontId="49" fillId="7" borderId="1" applyAlignment="1" pivotButton="0" quotePrefix="0" xfId="0">
      <alignment horizontal="left" vertical="center"/>
    </xf>
    <xf numFmtId="0" fontId="12" fillId="14" borderId="1" applyAlignment="1" pivotButton="0" quotePrefix="0" xfId="0">
      <alignment horizontal="left" vertical="center"/>
    </xf>
    <xf numFmtId="0" fontId="51" fillId="14" borderId="1" applyAlignment="1" pivotButton="0" quotePrefix="0" xfId="0">
      <alignment horizontal="center" vertical="center"/>
    </xf>
    <xf numFmtId="0" fontId="23" fillId="14" borderId="1" applyAlignment="1" pivotButton="0" quotePrefix="0" xfId="0">
      <alignment horizontal="center" vertical="center"/>
    </xf>
    <xf numFmtId="9" fontId="23" fillId="14" borderId="1" applyAlignment="1" pivotButton="0" quotePrefix="0" xfId="0">
      <alignment horizontal="center" vertical="center"/>
    </xf>
    <xf numFmtId="0" fontId="20" fillId="23" borderId="1" applyAlignment="1" pivotButton="0" quotePrefix="0" xfId="0">
      <alignment horizontal="left" vertical="center"/>
    </xf>
    <xf numFmtId="0" fontId="52" fillId="23" borderId="1" applyAlignment="1" pivotButton="0" quotePrefix="0" xfId="0">
      <alignment horizontal="left" vertical="center"/>
    </xf>
    <xf numFmtId="0" fontId="53" fillId="5" borderId="1" applyAlignment="1" pivotButton="0" quotePrefix="0" xfId="0">
      <alignment horizontal="left" vertical="center"/>
    </xf>
    <xf numFmtId="0" fontId="54" fillId="5" borderId="1" applyAlignment="1" pivotButton="0" quotePrefix="0" xfId="0">
      <alignment horizontal="left" vertical="center"/>
    </xf>
    <xf numFmtId="0" fontId="55" fillId="24" borderId="1" applyAlignment="1" pivotButton="0" quotePrefix="0" xfId="0">
      <alignment horizontal="left" vertical="center"/>
    </xf>
    <xf numFmtId="0" fontId="56" fillId="24" borderId="1" applyAlignment="1" pivotButton="0" quotePrefix="0" xfId="0">
      <alignment horizontal="left" vertical="center"/>
    </xf>
    <xf numFmtId="0" fontId="21" fillId="25" borderId="1" applyAlignment="1" pivotButton="0" quotePrefix="0" xfId="0">
      <alignment horizontal="left" vertical="center"/>
    </xf>
    <xf numFmtId="0" fontId="57" fillId="25" borderId="1" applyAlignment="1" pivotButton="0" quotePrefix="0" xfId="0">
      <alignment horizontal="left" vertical="center"/>
    </xf>
    <xf numFmtId="0" fontId="15" fillId="2" borderId="21" applyAlignment="1" pivotButton="0" quotePrefix="0" xfId="0">
      <alignment horizontal="center" vertical="center"/>
    </xf>
    <xf numFmtId="0" fontId="58" fillId="6" borderId="1" applyAlignment="1" pivotButton="0" quotePrefix="0" xfId="0">
      <alignment horizontal="left" vertical="center"/>
    </xf>
    <xf numFmtId="0" fontId="59" fillId="7" borderId="1" applyAlignment="1" pivotButton="0" quotePrefix="0" xfId="0">
      <alignment horizontal="center" vertical="center"/>
    </xf>
    <xf numFmtId="0" fontId="60" fillId="7" borderId="1" applyAlignment="1" pivotButton="0" quotePrefix="0" xfId="0">
      <alignment horizontal="center" vertical="center"/>
    </xf>
    <xf numFmtId="9" fontId="61" fillId="7" borderId="1" applyAlignment="1" pivotButton="0" quotePrefix="0" xfId="0">
      <alignment horizontal="center" vertical="center"/>
    </xf>
    <xf numFmtId="0" fontId="58" fillId="25" borderId="1" applyAlignment="1" pivotButton="0" quotePrefix="0" xfId="0">
      <alignment horizontal="left" vertical="center"/>
    </xf>
    <xf numFmtId="0" fontId="12" fillId="25" borderId="1" applyAlignment="1" pivotButton="0" quotePrefix="0" xfId="0">
      <alignment horizontal="left" vertical="center"/>
    </xf>
    <xf numFmtId="0" fontId="58" fillId="23" borderId="1" applyAlignment="1" pivotButton="0" quotePrefix="0" xfId="0">
      <alignment horizontal="left" vertical="center"/>
    </xf>
    <xf numFmtId="0" fontId="12" fillId="23" borderId="1" applyAlignment="1" pivotButton="0" quotePrefix="0" xfId="0">
      <alignment horizontal="left" vertical="center"/>
    </xf>
    <xf numFmtId="0" fontId="58" fillId="5" borderId="1" applyAlignment="1" pivotButton="0" quotePrefix="0" xfId="0">
      <alignment horizontal="left" vertical="center"/>
    </xf>
    <xf numFmtId="0" fontId="12" fillId="5" borderId="1" applyAlignment="1" pivotButton="0" quotePrefix="0" xfId="0">
      <alignment horizontal="left" vertical="center"/>
    </xf>
    <xf numFmtId="0" fontId="58" fillId="3" borderId="1" applyAlignment="1" pivotButton="0" quotePrefix="0" xfId="0">
      <alignment horizontal="left" vertical="center"/>
    </xf>
    <xf numFmtId="0" fontId="12" fillId="3" borderId="1" applyAlignment="1" pivotButton="0" quotePrefix="0" xfId="0">
      <alignment horizontal="left" vertical="center"/>
    </xf>
    <xf numFmtId="0" fontId="58" fillId="13" borderId="1" applyAlignment="1" pivotButton="0" quotePrefix="0" xfId="0">
      <alignment horizontal="left" vertical="center"/>
    </xf>
    <xf numFmtId="0" fontId="58" fillId="4" borderId="1" applyAlignment="1" pivotButton="0" quotePrefix="0" xfId="0">
      <alignment horizontal="left" vertical="center"/>
    </xf>
    <xf numFmtId="0" fontId="12" fillId="4" borderId="1" applyAlignment="1" pivotButton="0" quotePrefix="0" xfId="0">
      <alignment horizontal="left" vertical="center"/>
    </xf>
    <xf numFmtId="0" fontId="62" fillId="23" borderId="1" applyAlignment="1" pivotButton="0" quotePrefix="0" xfId="0">
      <alignment horizontal="left" vertical="center"/>
    </xf>
    <xf numFmtId="9" fontId="0" fillId="0" borderId="0" pivotButton="0" quotePrefix="0" xfId="0"/>
    <xf numFmtId="0" fontId="33" fillId="25" borderId="1" applyAlignment="1" pivotButton="0" quotePrefix="0" xfId="0">
      <alignment horizontal="center" vertical="center"/>
    </xf>
    <xf numFmtId="9" fontId="63" fillId="25" borderId="1" applyAlignment="1" pivotButton="0" quotePrefix="0" xfId="0">
      <alignment horizontal="center" vertical="center"/>
    </xf>
    <xf numFmtId="0" fontId="10" fillId="7" borderId="1" applyAlignment="1" pivotButton="0" quotePrefix="0" xfId="0">
      <alignment horizontal="left" vertical="center" wrapText="1"/>
    </xf>
    <xf numFmtId="0" fontId="64" fillId="24" borderId="1" applyAlignment="1" pivotButton="0" quotePrefix="0" xfId="0">
      <alignment horizontal="center" vertical="center"/>
    </xf>
    <xf numFmtId="9" fontId="65" fillId="24" borderId="1" applyAlignment="1" pivotButton="0" quotePrefix="0" xfId="0">
      <alignment horizontal="center" vertical="center"/>
    </xf>
    <xf numFmtId="0" fontId="39" fillId="23" borderId="1" applyAlignment="1" pivotButton="0" quotePrefix="0" xfId="0">
      <alignment horizontal="center" vertical="center"/>
    </xf>
    <xf numFmtId="9" fontId="66" fillId="23" borderId="1" applyAlignment="1" pivotButton="0" quotePrefix="0" xfId="0">
      <alignment horizontal="center" vertical="center"/>
    </xf>
    <xf numFmtId="0" fontId="8" fillId="20" borderId="50" applyAlignment="1" pivotButton="0" quotePrefix="0" xfId="0">
      <alignment horizontal="left" vertical="center"/>
    </xf>
    <xf numFmtId="0" fontId="67" fillId="6" borderId="1" applyAlignment="1" pivotButton="0" quotePrefix="0" xfId="0">
      <alignment horizontal="left" vertical="center" wrapText="1"/>
    </xf>
    <xf numFmtId="0" fontId="68" fillId="3" borderId="1" applyAlignment="1" pivotButton="0" quotePrefix="0" xfId="0">
      <alignment horizontal="left" vertical="center" wrapText="1"/>
    </xf>
    <xf numFmtId="0" fontId="29" fillId="9" borderId="1" applyAlignment="1" pivotButton="0" quotePrefix="0" xfId="0">
      <alignment horizontal="center" vertical="center"/>
    </xf>
    <xf numFmtId="0" fontId="21" fillId="7" borderId="1" applyAlignment="1" pivotButton="0" quotePrefix="0" xfId="0">
      <alignment horizontal="left" vertical="center"/>
    </xf>
    <xf numFmtId="0" fontId="29" fillId="7" borderId="1" applyAlignment="1" pivotButton="0" quotePrefix="0" xfId="0">
      <alignment horizontal="center" vertical="center"/>
    </xf>
    <xf numFmtId="0" fontId="29" fillId="6" borderId="1" applyAlignment="1" pivotButton="0" quotePrefix="0" xfId="0">
      <alignment horizontal="center" vertical="center"/>
    </xf>
    <xf numFmtId="0" fontId="20" fillId="7" borderId="1" applyAlignment="1" pivotButton="0" quotePrefix="0" xfId="0">
      <alignment horizontal="left" vertical="center"/>
    </xf>
    <xf numFmtId="0" fontId="29" fillId="10" borderId="1" applyAlignment="1" pivotButton="0" quotePrefix="0" xfId="0">
      <alignment horizontal="center" vertical="center"/>
    </xf>
    <xf numFmtId="0" fontId="19" fillId="7" borderId="1" applyAlignment="1" pivotButton="0" quotePrefix="0" xfId="0">
      <alignment horizontal="left" vertical="center"/>
    </xf>
    <xf numFmtId="0" fontId="29" fillId="13" borderId="1" applyAlignment="1" pivotButton="0" quotePrefix="0" xfId="0">
      <alignment horizontal="center" vertical="center"/>
    </xf>
    <xf numFmtId="0" fontId="29" fillId="14" borderId="1" applyAlignment="1" pivotButton="0" quotePrefix="0" xfId="0">
      <alignment horizontal="center" vertical="center"/>
    </xf>
    <xf numFmtId="0" fontId="1" fillId="2" borderId="0" applyAlignment="1" pivotButton="0" quotePrefix="0" xfId="0">
      <alignment horizontal="center" vertical="center" wrapText="1"/>
    </xf>
    <xf numFmtId="0" fontId="69" fillId="6" borderId="0" applyAlignment="1" pivotButton="0" quotePrefix="0" xfId="0">
      <alignment horizontal="center" vertical="center"/>
    </xf>
    <xf numFmtId="0" fontId="16" fillId="9" borderId="25" applyAlignment="1" pivotButton="0" quotePrefix="0" xfId="0">
      <alignment horizontal="center" vertical="center"/>
    </xf>
    <xf numFmtId="0" fontId="21" fillId="9" borderId="30" applyAlignment="1" pivotButton="0" quotePrefix="0" xfId="0">
      <alignment horizontal="center" vertical="center"/>
    </xf>
    <xf numFmtId="0" fontId="18" fillId="6" borderId="35" applyAlignment="1" pivotButton="0" quotePrefix="0" xfId="0">
      <alignment horizontal="center" vertical="center"/>
    </xf>
    <xf numFmtId="9" fontId="70" fillId="7" borderId="65" applyAlignment="1" pivotButton="0" quotePrefix="0" xfId="0">
      <alignment horizontal="center" vertical="center"/>
    </xf>
    <xf numFmtId="0" fontId="0" fillId="0" borderId="68" pivotButton="0" quotePrefix="0" xfId="0"/>
    <xf numFmtId="9" fontId="63" fillId="7" borderId="69" applyAlignment="1" pivotButton="0" quotePrefix="0" xfId="0">
      <alignment horizontal="center" vertical="center"/>
    </xf>
    <xf numFmtId="0" fontId="0" fillId="0" borderId="72" pivotButton="0" quotePrefix="0" xfId="0"/>
    <xf numFmtId="9" fontId="71" fillId="7" borderId="73" applyAlignment="1" pivotButton="0" quotePrefix="0" xfId="0">
      <alignment horizontal="center" vertical="center"/>
    </xf>
    <xf numFmtId="0" fontId="0" fillId="0" borderId="76" pivotButton="0" quotePrefix="0" xfId="0"/>
    <xf numFmtId="0" fontId="20" fillId="12" borderId="40" applyAlignment="1" pivotButton="0" quotePrefix="0" xfId="0">
      <alignment horizontal="center" vertical="center"/>
    </xf>
    <xf numFmtId="0" fontId="17" fillId="10" borderId="45" applyAlignment="1" pivotButton="0" quotePrefix="0" xfId="0">
      <alignment horizontal="center" vertical="center"/>
    </xf>
    <xf numFmtId="0" fontId="19" fillId="11" borderId="50" applyAlignment="1" pivotButton="0" quotePrefix="0" xfId="0">
      <alignment horizontal="center" vertical="center"/>
    </xf>
    <xf numFmtId="9" fontId="66" fillId="7" borderId="77" applyAlignment="1" pivotButton="0" quotePrefix="0" xfId="0">
      <alignment horizontal="center" vertical="center"/>
    </xf>
    <xf numFmtId="0" fontId="0" fillId="0" borderId="80" pivotButton="0" quotePrefix="0" xfId="0"/>
    <xf numFmtId="9" fontId="72" fillId="7" borderId="81" applyAlignment="1" pivotButton="0" quotePrefix="0" xfId="0">
      <alignment horizontal="center" vertical="center"/>
    </xf>
    <xf numFmtId="0" fontId="0" fillId="0" borderId="84" pivotButton="0" quotePrefix="0" xfId="0"/>
    <xf numFmtId="9" fontId="73" fillId="7" borderId="85" applyAlignment="1" pivotButton="0" quotePrefix="0" xfId="0">
      <alignment horizontal="center" vertical="center"/>
    </xf>
    <xf numFmtId="0" fontId="0" fillId="0" borderId="88" pivotButton="0" quotePrefix="0" xfId="0"/>
    <xf numFmtId="0" fontId="22" fillId="13" borderId="55" applyAlignment="1" pivotButton="0" quotePrefix="0" xfId="0">
      <alignment horizontal="center" vertical="center"/>
    </xf>
    <xf numFmtId="0" fontId="23" fillId="14" borderId="60" applyAlignment="1" pivotButton="0" quotePrefix="0" xfId="0">
      <alignment horizontal="center" vertical="center"/>
    </xf>
    <xf numFmtId="9" fontId="74" fillId="7" borderId="89" applyAlignment="1" pivotButton="0" quotePrefix="0" xfId="0">
      <alignment horizontal="center" vertical="center"/>
    </xf>
    <xf numFmtId="0" fontId="0" fillId="0" borderId="92" pivotButton="0" quotePrefix="0" xfId="0"/>
    <xf numFmtId="9" fontId="75" fillId="7" borderId="93" applyAlignment="1" pivotButton="0" quotePrefix="0" xfId="0">
      <alignment horizontal="center" vertical="center"/>
    </xf>
    <xf numFmtId="0" fontId="0" fillId="0" borderId="96" pivotButton="0" quotePrefix="0" xfId="0"/>
    <xf numFmtId="0" fontId="19" fillId="3" borderId="1" applyAlignment="1" pivotButton="0" quotePrefix="0" xfId="0">
      <alignment horizontal="left" vertical="center"/>
    </xf>
    <xf numFmtId="0" fontId="0" fillId="0" borderId="97" pivotButton="0" quotePrefix="0" xfId="0"/>
    <xf numFmtId="0" fontId="61" fillId="7" borderId="1" applyAlignment="1" pivotButton="0" quotePrefix="0" xfId="0">
      <alignment horizontal="center" vertical="center"/>
    </xf>
    <xf numFmtId="0" fontId="76" fillId="9" borderId="1" applyAlignment="1" pivotButton="0" quotePrefix="0" xfId="0">
      <alignment horizontal="left" vertical="center" wrapText="1"/>
    </xf>
    <xf numFmtId="0" fontId="76" fillId="7" borderId="1" applyAlignment="1" pivotButton="0" quotePrefix="0" xfId="0">
      <alignment horizontal="left" vertical="center" wrapText="1"/>
    </xf>
    <xf numFmtId="0" fontId="76" fillId="6" borderId="1" applyAlignment="1" pivotButton="0" quotePrefix="0" xfId="0">
      <alignment horizontal="left" vertical="center" wrapText="1"/>
    </xf>
    <xf numFmtId="0" fontId="76" fillId="10" borderId="1" applyAlignment="1" pivotButton="0" quotePrefix="0" xfId="0">
      <alignment horizontal="left" vertical="center" wrapText="1"/>
    </xf>
    <xf numFmtId="0" fontId="76" fillId="13" borderId="1" applyAlignment="1" pivotButton="0" quotePrefix="0" xfId="0">
      <alignment horizontal="left" vertical="center" wrapText="1"/>
    </xf>
    <xf numFmtId="0" fontId="76" fillId="14" borderId="1" applyAlignment="1" pivotButton="0" quotePrefix="0" xfId="0">
      <alignment horizontal="left" vertical="center" wrapText="1"/>
    </xf>
    <xf numFmtId="0" fontId="8" fillId="26" borderId="98" applyAlignment="1" pivotButton="0" quotePrefix="0" xfId="0">
      <alignment horizontal="left" vertical="center"/>
    </xf>
    <xf numFmtId="0" fontId="0" fillId="0" borderId="101" pivotButton="0" quotePrefix="0" xfId="0"/>
    <xf numFmtId="0" fontId="0" fillId="0" borderId="102" pivotButton="0" quotePrefix="0" xfId="0"/>
    <xf numFmtId="0" fontId="56" fillId="24" borderId="1" applyAlignment="1" pivotButton="0" quotePrefix="0" xfId="0">
      <alignment horizontal="left" vertical="center" wrapText="1"/>
    </xf>
    <xf numFmtId="0" fontId="77" fillId="2" borderId="0" applyAlignment="1" pivotButton="0" quotePrefix="0" xfId="0">
      <alignment horizontal="center" vertical="center"/>
    </xf>
    <xf numFmtId="0" fontId="12" fillId="7" borderId="1" applyAlignment="1" pivotButton="0" quotePrefix="0" xfId="0">
      <alignment horizontal="left" vertical="center" wrapText="1"/>
    </xf>
    <xf numFmtId="0" fontId="8" fillId="18" borderId="40" applyAlignment="1" pivotButton="0" quotePrefix="0" xfId="0">
      <alignment horizontal="left" vertical="center"/>
    </xf>
    <xf numFmtId="0" fontId="29" fillId="27" borderId="1" applyAlignment="1" pivotButton="0" quotePrefix="0" xfId="0">
      <alignment horizontal="left" vertical="center"/>
    </xf>
    <xf numFmtId="0" fontId="52" fillId="23" borderId="40" applyAlignment="1" pivotButton="0" quotePrefix="0" xfId="0">
      <alignment horizontal="left" vertical="center" wrapText="1"/>
    </xf>
    <xf numFmtId="0" fontId="8" fillId="28" borderId="103" applyAlignment="1" pivotButton="0" quotePrefix="0" xfId="0">
      <alignment horizontal="left" vertical="center"/>
    </xf>
    <xf numFmtId="0" fontId="0" fillId="0" borderId="106" pivotButton="0" quotePrefix="0" xfId="0"/>
    <xf numFmtId="0" fontId="0" fillId="0" borderId="107" pivotButton="0" quotePrefix="0" xfId="0"/>
    <xf numFmtId="0" fontId="78" fillId="4" borderId="1" applyAlignment="1" pivotButton="0" quotePrefix="0" xfId="0">
      <alignment horizontal="left" vertical="center"/>
    </xf>
    <xf numFmtId="0" fontId="79" fillId="4" borderId="1" applyAlignment="1" pivotButton="0" quotePrefix="0" xfId="0">
      <alignment horizontal="left" vertical="center" wrapText="1"/>
    </xf>
    <xf numFmtId="0" fontId="80" fillId="4" borderId="1" applyAlignment="1" pivotButton="0" quotePrefix="0" xfId="0">
      <alignment horizontal="left" vertical="center" wrapText="1"/>
    </xf>
    <xf numFmtId="0" fontId="8" fillId="29" borderId="108" applyAlignment="1" pivotButton="0" quotePrefix="0" xfId="0">
      <alignment horizontal="left" vertical="center"/>
    </xf>
    <xf numFmtId="0" fontId="0" fillId="0" borderId="111" pivotButton="0" quotePrefix="0" xfId="0"/>
    <xf numFmtId="0" fontId="0" fillId="0" borderId="112" pivotButton="0" quotePrefix="0" xfId="0"/>
    <xf numFmtId="0" fontId="81" fillId="4" borderId="1" applyAlignment="1" pivotButton="0" quotePrefix="0" xfId="0">
      <alignment horizontal="left" vertical="center"/>
    </xf>
    <xf numFmtId="0" fontId="82" fillId="4" borderId="1" applyAlignment="1" pivotButton="0" quotePrefix="0" xfId="0">
      <alignment horizontal="left" vertical="center" wrapText="1"/>
    </xf>
    <xf numFmtId="0" fontId="83" fillId="4" borderId="1" applyAlignment="1" pivotButton="0" quotePrefix="0" xfId="0">
      <alignment horizontal="left" vertical="center" wrapText="1"/>
    </xf>
    <xf numFmtId="0" fontId="84" fillId="4" borderId="1" applyAlignment="1" pivotButton="0" quotePrefix="0" xfId="0">
      <alignment horizontal="left" vertical="center"/>
    </xf>
    <xf numFmtId="0" fontId="85" fillId="4" borderId="1" applyAlignment="1" pivotButton="0" quotePrefix="0" xfId="0">
      <alignment horizontal="left" vertical="center" wrapText="1"/>
    </xf>
    <xf numFmtId="0" fontId="86" fillId="4" borderId="1" applyAlignment="1" pivotButton="0" quotePrefix="0" xfId="0">
      <alignment horizontal="left" vertical="center" wrapText="1"/>
    </xf>
    <xf numFmtId="0" fontId="19" fillId="4" borderId="1" applyAlignment="1" pivotButton="0" quotePrefix="0" xfId="0">
      <alignment horizontal="left" vertical="center"/>
    </xf>
    <xf numFmtId="0" fontId="2" fillId="4" borderId="1" applyAlignment="1" pivotButton="0" quotePrefix="0" xfId="0">
      <alignment horizontal="left" vertical="center" wrapText="1"/>
    </xf>
    <xf numFmtId="0" fontId="87" fillId="4" borderId="1" applyAlignment="1" pivotButton="0" quotePrefix="0" xfId="0">
      <alignment horizontal="left" vertical="center" wrapText="1"/>
    </xf>
    <xf numFmtId="0" fontId="14" fillId="6" borderId="1" applyAlignment="1" pivotButton="0" quotePrefix="0" xfId="0">
      <alignment horizontal="center" vertical="center"/>
    </xf>
    <xf numFmtId="0" fontId="88" fillId="6" borderId="1" applyAlignment="1" pivotButton="0" quotePrefix="0" xfId="0">
      <alignment horizontal="center" vertical="center"/>
    </xf>
    <xf numFmtId="0" fontId="14" fillId="7" borderId="1" applyAlignment="1" pivotButton="0" quotePrefix="0" xfId="0">
      <alignment horizontal="center" vertical="center"/>
    </xf>
    <xf numFmtId="0" fontId="88" fillId="7" borderId="1" applyAlignment="1" pivotButton="0" quotePrefix="0" xfId="0">
      <alignment horizontal="center" vertical="center"/>
    </xf>
    <xf numFmtId="0" fontId="4" fillId="5" borderId="6"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0" fillId="7" borderId="1" applyAlignment="1" applyProtection="1" pivotButton="0" quotePrefix="0" xfId="0">
      <alignment horizontal="center" vertical="center"/>
      <protection locked="0" hidden="0"/>
    </xf>
    <xf numFmtId="0" fontId="11" fillId="4" borderId="1" applyAlignment="1" applyProtection="1" pivotButton="0" quotePrefix="0" xfId="0">
      <alignment horizontal="center" vertical="center"/>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0" applyProtection="1" pivotButton="0" quotePrefix="0" xfId="0">
      <protection locked="0" hidden="0"/>
    </xf>
    <xf numFmtId="0" fontId="14" fillId="4" borderId="1" applyAlignment="1" pivotButton="0" quotePrefix="0" xfId="0">
      <alignment horizontal="left" vertical="center"/>
    </xf>
    <xf numFmtId="0" fontId="0" fillId="7" borderId="1" applyAlignment="1" pivotButton="0" quotePrefix="0" xfId="0">
      <alignment horizontal="left" vertical="center"/>
    </xf>
    <xf numFmtId="0" fontId="0" fillId="0" borderId="5" applyProtection="1" pivotButton="0" quotePrefix="0" xfId="0">
      <protection locked="0" hidden="0"/>
    </xf>
    <xf numFmtId="0" fontId="0" fillId="0" borderId="4" applyProtection="1" pivotButton="0" quotePrefix="0" xfId="0">
      <protection locked="0" hidden="0"/>
    </xf>
    <xf numFmtId="0" fontId="0" fillId="0" borderId="24" applyProtection="1" pivotButton="0" quotePrefix="0" xfId="0">
      <protection locked="0" hidden="0"/>
    </xf>
    <xf numFmtId="0" fontId="19" fillId="3" borderId="1" applyAlignment="1" pivotButton="0" quotePrefix="0" xfId="0">
      <alignment horizontal="center" vertical="center"/>
    </xf>
    <xf numFmtId="0" fontId="12" fillId="30" borderId="1" applyAlignment="1" applyProtection="1" pivotButton="0" quotePrefix="0" xfId="0">
      <alignment horizontal="center" vertical="center"/>
      <protection locked="0" hidden="0"/>
    </xf>
    <xf numFmtId="0" fontId="13" fillId="2" borderId="0" applyAlignment="1" applyProtection="1" pivotButton="0" quotePrefix="0" xfId="0">
      <alignment horizontal="center" vertical="center"/>
      <protection locked="0" hidden="0"/>
    </xf>
    <xf numFmtId="0" fontId="62" fillId="23" borderId="1" applyAlignment="1" applyProtection="1" pivotButton="0" quotePrefix="0" xfId="0">
      <alignment horizontal="left" vertical="center"/>
      <protection locked="0" hidden="0"/>
    </xf>
    <xf numFmtId="0" fontId="8" fillId="8" borderId="16" applyAlignment="1" applyProtection="1" pivotButton="0" quotePrefix="0" xfId="0">
      <alignment horizontal="left" vertical="center"/>
      <protection locked="0" hidden="0"/>
    </xf>
    <xf numFmtId="0" fontId="25" fillId="2" borderId="21" applyAlignment="1" applyProtection="1" pivotButton="0" quotePrefix="0" xfId="0">
      <alignment horizontal="center" vertical="center"/>
      <protection locked="0" hidden="0"/>
    </xf>
    <xf numFmtId="0" fontId="33" fillId="25" borderId="1" applyAlignment="1" applyProtection="1" pivotButton="0" quotePrefix="0" xfId="0">
      <alignment horizontal="center" vertical="center"/>
      <protection locked="0" hidden="0"/>
    </xf>
    <xf numFmtId="0" fontId="10" fillId="7" borderId="1" applyAlignment="1" applyProtection="1" pivotButton="0" quotePrefix="0" xfId="0">
      <alignment horizontal="left" vertical="center" wrapText="1"/>
      <protection locked="0" hidden="0"/>
    </xf>
    <xf numFmtId="0" fontId="64" fillId="24" borderId="1" applyAlignment="1" applyProtection="1" pivotButton="0" quotePrefix="0" xfId="0">
      <alignment horizontal="center" vertical="center"/>
      <protection locked="0" hidden="0"/>
    </xf>
    <xf numFmtId="0" fontId="39" fillId="23" borderId="1" applyAlignment="1" applyProtection="1" pivotButton="0" quotePrefix="0" xfId="0">
      <alignment horizontal="center" vertical="center"/>
      <protection locked="0" hidden="0"/>
    </xf>
    <xf numFmtId="0" fontId="8" fillId="20" borderId="50" applyAlignment="1" applyProtection="1" pivotButton="0" quotePrefix="0" xfId="0">
      <alignment horizontal="left" vertical="center"/>
      <protection locked="0" hidden="0"/>
    </xf>
    <xf numFmtId="0" fontId="0" fillId="0" borderId="53" applyProtection="1" pivotButton="0" quotePrefix="0" xfId="0">
      <protection locked="0" hidden="0"/>
    </xf>
    <xf numFmtId="0" fontId="0" fillId="0" borderId="54" applyProtection="1" pivotButton="0" quotePrefix="0" xfId="0">
      <protection locked="0" hidden="0"/>
    </xf>
    <xf numFmtId="0" fontId="16" fillId="9" borderId="1" applyAlignment="1" applyProtection="1" pivotButton="0" quotePrefix="0" xfId="0">
      <alignment horizontal="left" vertical="center"/>
      <protection locked="0" hidden="0"/>
    </xf>
    <xf numFmtId="0" fontId="29" fillId="9" borderId="1" applyAlignment="1" applyProtection="1" pivotButton="0" quotePrefix="0" xfId="0">
      <alignment horizontal="left" vertical="center" wrapText="1"/>
      <protection locked="0" hidden="0"/>
    </xf>
    <xf numFmtId="0" fontId="67" fillId="6" borderId="1" applyAlignment="1" applyProtection="1" pivotButton="0" quotePrefix="0" xfId="0">
      <alignment horizontal="left" vertical="center" wrapText="1"/>
      <protection locked="0" hidden="0"/>
    </xf>
    <xf numFmtId="0" fontId="68" fillId="3" borderId="1" applyAlignment="1" applyProtection="1" pivotButton="0" quotePrefix="0" xfId="0">
      <alignment horizontal="left" vertical="center" wrapText="1"/>
      <protection locked="0" hidden="0"/>
    </xf>
    <xf numFmtId="0" fontId="29" fillId="9" borderId="1" applyAlignment="1" applyProtection="1" pivotButton="0" quotePrefix="0" xfId="0">
      <alignment horizontal="center" vertical="center"/>
      <protection locked="0" hidden="0"/>
    </xf>
    <xf numFmtId="0" fontId="12" fillId="7" borderId="1" applyAlignment="1" applyProtection="1" pivotButton="0" quotePrefix="0" xfId="0">
      <alignment horizontal="left" vertical="center"/>
      <protection locked="0" hidden="0"/>
    </xf>
    <xf numFmtId="0" fontId="21" fillId="7" borderId="1" applyAlignment="1" applyProtection="1" pivotButton="0" quotePrefix="0" xfId="0">
      <alignment horizontal="left" vertical="center"/>
      <protection locked="0" hidden="0"/>
    </xf>
    <xf numFmtId="0" fontId="29" fillId="7" borderId="1" applyAlignment="1" applyProtection="1" pivotButton="0" quotePrefix="0" xfId="0">
      <alignment horizontal="left" vertical="center" wrapText="1"/>
      <protection locked="0" hidden="0"/>
    </xf>
    <xf numFmtId="0" fontId="29" fillId="7" borderId="1" applyAlignment="1" applyProtection="1" pivotButton="0" quotePrefix="0" xfId="0">
      <alignment horizontal="center" vertical="center"/>
      <protection locked="0" hidden="0"/>
    </xf>
    <xf numFmtId="0" fontId="18" fillId="6" borderId="1" applyAlignment="1" applyProtection="1" pivotButton="0" quotePrefix="0" xfId="0">
      <alignment horizontal="left" vertical="center"/>
      <protection locked="0" hidden="0"/>
    </xf>
    <xf numFmtId="0" fontId="29" fillId="6" borderId="1" applyAlignment="1" applyProtection="1" pivotButton="0" quotePrefix="0" xfId="0">
      <alignment horizontal="left" vertical="center" wrapText="1"/>
      <protection locked="0" hidden="0"/>
    </xf>
    <xf numFmtId="0" fontId="29" fillId="6" borderId="1" applyAlignment="1" applyProtection="1" pivotButton="0" quotePrefix="0" xfId="0">
      <alignment horizontal="center" vertical="center"/>
      <protection locked="0" hidden="0"/>
    </xf>
    <xf numFmtId="0" fontId="20" fillId="7" borderId="1" applyAlignment="1" applyProtection="1" pivotButton="0" quotePrefix="0" xfId="0">
      <alignment horizontal="left" vertical="center"/>
      <protection locked="0" hidden="0"/>
    </xf>
    <xf numFmtId="0" fontId="17" fillId="10" borderId="1" applyAlignment="1" applyProtection="1" pivotButton="0" quotePrefix="0" xfId="0">
      <alignment horizontal="left" vertical="center"/>
      <protection locked="0" hidden="0"/>
    </xf>
    <xf numFmtId="0" fontId="29" fillId="10" borderId="1" applyAlignment="1" applyProtection="1" pivotButton="0" quotePrefix="0" xfId="0">
      <alignment horizontal="left" vertical="center" wrapText="1"/>
      <protection locked="0" hidden="0"/>
    </xf>
    <xf numFmtId="0" fontId="29" fillId="10" borderId="1" applyAlignment="1" applyProtection="1" pivotButton="0" quotePrefix="0" xfId="0">
      <alignment horizontal="center" vertical="center"/>
      <protection locked="0" hidden="0"/>
    </xf>
    <xf numFmtId="0" fontId="19" fillId="7" borderId="1" applyAlignment="1" applyProtection="1" pivotButton="0" quotePrefix="0" xfId="0">
      <alignment horizontal="left" vertical="center"/>
      <protection locked="0" hidden="0"/>
    </xf>
    <xf numFmtId="0" fontId="22" fillId="13" borderId="1" applyAlignment="1" applyProtection="1" pivotButton="0" quotePrefix="0" xfId="0">
      <alignment horizontal="left" vertical="center"/>
      <protection locked="0" hidden="0"/>
    </xf>
    <xf numFmtId="0" fontId="29" fillId="13" borderId="1" applyAlignment="1" applyProtection="1" pivotButton="0" quotePrefix="0" xfId="0">
      <alignment horizontal="left" vertical="center" wrapText="1"/>
      <protection locked="0" hidden="0"/>
    </xf>
    <xf numFmtId="0" fontId="29" fillId="13" borderId="1" applyAlignment="1" applyProtection="1" pivotButton="0" quotePrefix="0" xfId="0">
      <alignment horizontal="center" vertical="center"/>
      <protection locked="0" hidden="0"/>
    </xf>
    <xf numFmtId="0" fontId="23" fillId="14" borderId="1" applyAlignment="1" applyProtection="1" pivotButton="0" quotePrefix="0" xfId="0">
      <alignment horizontal="left" vertical="center"/>
      <protection locked="0" hidden="0"/>
    </xf>
    <xf numFmtId="0" fontId="29" fillId="14" borderId="1" applyAlignment="1" applyProtection="1" pivotButton="0" quotePrefix="0" xfId="0">
      <alignment horizontal="left" vertical="center" wrapText="1"/>
      <protection locked="0" hidden="0"/>
    </xf>
    <xf numFmtId="0" fontId="29" fillId="14" borderId="1" applyAlignment="1" applyProtection="1" pivotButton="0" quotePrefix="0" xfId="0">
      <alignment horizontal="center" vertical="center"/>
      <protection locked="0" hidden="0"/>
    </xf>
    <xf numFmtId="0" fontId="1" fillId="2" borderId="0" applyAlignment="1" applyProtection="1" pivotButton="0" quotePrefix="0" xfId="0">
      <alignment horizontal="center" vertical="center" wrapText="1"/>
      <protection locked="0" hidden="0"/>
    </xf>
    <xf numFmtId="0" fontId="69" fillId="6" borderId="0" applyAlignment="1" applyProtection="1" pivotButton="0" quotePrefix="0" xfId="0">
      <alignment horizontal="center" vertical="center"/>
      <protection locked="0" hidden="0"/>
    </xf>
    <xf numFmtId="0" fontId="62" fillId="23" borderId="1" applyAlignment="1" applyProtection="1" pivotButton="0" quotePrefix="0" xfId="0">
      <alignment horizontal="center" vertical="center"/>
      <protection locked="0" hidden="0"/>
    </xf>
    <xf numFmtId="0" fontId="14" fillId="4" borderId="1" applyAlignment="1" applyProtection="1" pivotButton="0" quotePrefix="0" xfId="0">
      <alignment horizontal="left" vertical="center"/>
      <protection locked="0" hidden="0"/>
    </xf>
    <xf numFmtId="0" fontId="73" fillId="3" borderId="1" applyAlignment="1" pivotButton="0" quotePrefix="0" xfId="0">
      <alignment horizontal="left" vertical="center"/>
    </xf>
    <xf numFmtId="0" fontId="16" fillId="9" borderId="25" applyAlignment="1" applyProtection="1" pivotButton="0" quotePrefix="0" xfId="0">
      <alignment horizontal="center" vertical="center"/>
      <protection locked="0" hidden="0"/>
    </xf>
    <xf numFmtId="0" fontId="0" fillId="0" borderId="29" applyProtection="1" pivotButton="0" quotePrefix="0" xfId="0">
      <protection locked="0" hidden="0"/>
    </xf>
    <xf numFmtId="0" fontId="21" fillId="9" borderId="30" applyAlignment="1" applyProtection="1" pivotButton="0" quotePrefix="0" xfId="0">
      <alignment horizontal="center" vertical="center"/>
      <protection locked="0" hidden="0"/>
    </xf>
    <xf numFmtId="0" fontId="0" fillId="0" borderId="34" applyProtection="1" pivotButton="0" quotePrefix="0" xfId="0">
      <protection locked="0" hidden="0"/>
    </xf>
    <xf numFmtId="0" fontId="18" fillId="6" borderId="35" applyAlignment="1" applyProtection="1" pivotButton="0" quotePrefix="0" xfId="0">
      <alignment horizontal="center" vertical="center"/>
      <protection locked="0" hidden="0"/>
    </xf>
    <xf numFmtId="0" fontId="0" fillId="0" borderId="39" applyProtection="1" pivotButton="0" quotePrefix="0" xfId="0">
      <protection locked="0" hidden="0"/>
    </xf>
    <xf numFmtId="0" fontId="0" fillId="0" borderId="68" applyProtection="1" pivotButton="0" quotePrefix="0" xfId="0">
      <protection locked="0" hidden="0"/>
    </xf>
    <xf numFmtId="0" fontId="0" fillId="0" borderId="72" applyProtection="1" pivotButton="0" quotePrefix="0" xfId="0">
      <protection locked="0" hidden="0"/>
    </xf>
    <xf numFmtId="0" fontId="0" fillId="0" borderId="76" applyProtection="1" pivotButton="0" quotePrefix="0" xfId="0">
      <protection locked="0" hidden="0"/>
    </xf>
    <xf numFmtId="0" fontId="20" fillId="12" borderId="40" applyAlignment="1" applyProtection="1" pivotButton="0" quotePrefix="0" xfId="0">
      <alignment horizontal="center" vertical="center"/>
      <protection locked="0" hidden="0"/>
    </xf>
    <xf numFmtId="0" fontId="0" fillId="0" borderId="44" applyProtection="1" pivotButton="0" quotePrefix="0" xfId="0">
      <protection locked="0" hidden="0"/>
    </xf>
    <xf numFmtId="0" fontId="17" fillId="10" borderId="45" applyAlignment="1" applyProtection="1" pivotButton="0" quotePrefix="0" xfId="0">
      <alignment horizontal="center" vertical="center"/>
      <protection locked="0" hidden="0"/>
    </xf>
    <xf numFmtId="0" fontId="0" fillId="0" borderId="49" applyProtection="1" pivotButton="0" quotePrefix="0" xfId="0">
      <protection locked="0" hidden="0"/>
    </xf>
    <xf numFmtId="0" fontId="19" fillId="11" borderId="50" applyAlignment="1" applyProtection="1" pivotButton="0" quotePrefix="0" xfId="0">
      <alignment horizontal="center" vertical="center"/>
      <protection locked="0" hidden="0"/>
    </xf>
    <xf numFmtId="0" fontId="0" fillId="0" borderId="80" applyProtection="1" pivotButton="0" quotePrefix="0" xfId="0">
      <protection locked="0" hidden="0"/>
    </xf>
    <xf numFmtId="0" fontId="0" fillId="0" borderId="84" applyProtection="1" pivotButton="0" quotePrefix="0" xfId="0">
      <protection locked="0" hidden="0"/>
    </xf>
    <xf numFmtId="0" fontId="0" fillId="0" borderId="88" applyProtection="1" pivotButton="0" quotePrefix="0" xfId="0">
      <protection locked="0" hidden="0"/>
    </xf>
    <xf numFmtId="0" fontId="22" fillId="13" borderId="55" applyAlignment="1" applyProtection="1" pivotButton="0" quotePrefix="0" xfId="0">
      <alignment horizontal="center" vertical="center"/>
      <protection locked="0" hidden="0"/>
    </xf>
    <xf numFmtId="0" fontId="0" fillId="0" borderId="59" applyProtection="1" pivotButton="0" quotePrefix="0" xfId="0">
      <protection locked="0" hidden="0"/>
    </xf>
    <xf numFmtId="0" fontId="23" fillId="14" borderId="60" applyAlignment="1" applyProtection="1" pivotButton="0" quotePrefix="0" xfId="0">
      <alignment horizontal="center" vertical="center"/>
      <protection locked="0" hidden="0"/>
    </xf>
    <xf numFmtId="0" fontId="0" fillId="0" borderId="64" applyProtection="1" pivotButton="0" quotePrefix="0" xfId="0">
      <protection locked="0" hidden="0"/>
    </xf>
    <xf numFmtId="0" fontId="0" fillId="0" borderId="92" applyProtection="1" pivotButton="0" quotePrefix="0" xfId="0">
      <protection locked="0" hidden="0"/>
    </xf>
    <xf numFmtId="0" fontId="0" fillId="0" borderId="96" applyProtection="1" pivotButton="0" quotePrefix="0" xfId="0">
      <protection locked="0" hidden="0"/>
    </xf>
    <xf numFmtId="0" fontId="19" fillId="3" borderId="1" applyAlignment="1" applyProtection="1" pivotButton="0" quotePrefix="0" xfId="0">
      <alignment horizontal="left" vertical="center"/>
      <protection locked="0" hidden="0"/>
    </xf>
    <xf numFmtId="0" fontId="12" fillId="3" borderId="1" applyAlignment="1" applyProtection="1" pivotButton="0" quotePrefix="0" xfId="0">
      <alignment horizontal="left" vertical="center"/>
      <protection locked="0" hidden="0"/>
    </xf>
    <xf numFmtId="0" fontId="15" fillId="2" borderId="21" applyAlignment="1" applyProtection="1" pivotButton="0" quotePrefix="0" xfId="0">
      <alignment horizontal="center" vertical="center"/>
      <protection locked="0" hidden="0"/>
    </xf>
    <xf numFmtId="0" fontId="0" fillId="0" borderId="97" applyProtection="1" pivotButton="0" quotePrefix="0" xfId="0">
      <protection locked="0" hidden="0"/>
    </xf>
    <xf numFmtId="0" fontId="76" fillId="9" borderId="1" applyAlignment="1" applyProtection="1" pivotButton="0" quotePrefix="0" xfId="0">
      <alignment horizontal="left" vertical="center" wrapText="1"/>
      <protection locked="0" hidden="0"/>
    </xf>
    <xf numFmtId="0" fontId="76" fillId="7" borderId="1" applyAlignment="1" applyProtection="1" pivotButton="0" quotePrefix="0" xfId="0">
      <alignment horizontal="left" vertical="center" wrapText="1"/>
      <protection locked="0" hidden="0"/>
    </xf>
    <xf numFmtId="0" fontId="76" fillId="6" borderId="1" applyAlignment="1" applyProtection="1" pivotButton="0" quotePrefix="0" xfId="0">
      <alignment horizontal="left" vertical="center" wrapText="1"/>
      <protection locked="0" hidden="0"/>
    </xf>
    <xf numFmtId="0" fontId="76" fillId="10" borderId="1" applyAlignment="1" applyProtection="1" pivotButton="0" quotePrefix="0" xfId="0">
      <alignment horizontal="left" vertical="center" wrapText="1"/>
      <protection locked="0" hidden="0"/>
    </xf>
    <xf numFmtId="0" fontId="76" fillId="13" borderId="1" applyAlignment="1" applyProtection="1" pivotButton="0" quotePrefix="0" xfId="0">
      <alignment horizontal="left" vertical="center" wrapText="1"/>
      <protection locked="0" hidden="0"/>
    </xf>
    <xf numFmtId="0" fontId="76" fillId="14" borderId="1" applyAlignment="1" applyProtection="1" pivotButton="0" quotePrefix="0" xfId="0">
      <alignment horizontal="left" vertical="center" wrapText="1"/>
      <protection locked="0" hidden="0"/>
    </xf>
    <xf numFmtId="0" fontId="8" fillId="26" borderId="98" applyAlignment="1" applyProtection="1" pivotButton="0" quotePrefix="0" xfId="0">
      <alignment horizontal="left" vertical="center"/>
      <protection locked="0" hidden="0"/>
    </xf>
    <xf numFmtId="0" fontId="0" fillId="0" borderId="101" applyProtection="1" pivotButton="0" quotePrefix="0" xfId="0">
      <protection locked="0" hidden="0"/>
    </xf>
    <xf numFmtId="0" fontId="0" fillId="0" borderId="102" applyProtection="1" pivotButton="0" quotePrefix="0" xfId="0">
      <protection locked="0" hidden="0"/>
    </xf>
    <xf numFmtId="0" fontId="56" fillId="24" borderId="1" applyAlignment="1" applyProtection="1" pivotButton="0" quotePrefix="0" xfId="0">
      <alignment horizontal="left" vertical="center" wrapText="1"/>
      <protection locked="0" hidden="0"/>
    </xf>
    <xf numFmtId="0" fontId="13" fillId="20" borderId="0" applyAlignment="1" pivotButton="0" quotePrefix="0" xfId="0">
      <alignment horizontal="center" vertical="center"/>
    </xf>
    <xf numFmtId="0" fontId="19" fillId="3" borderId="1" applyAlignment="1" pivotButton="0" quotePrefix="0" xfId="0">
      <alignment horizontal="left" vertical="center"/>
    </xf>
    <xf numFmtId="0" fontId="21" fillId="25" borderId="1" applyAlignment="1" pivotButton="0" quotePrefix="0" xfId="0">
      <alignment horizontal="left" vertical="center"/>
    </xf>
    <xf numFmtId="0" fontId="12" fillId="7" borderId="1" applyAlignment="1" pivotButton="0" quotePrefix="0" xfId="0">
      <alignment horizontal="left" vertical="center"/>
    </xf>
    <xf numFmtId="0" fontId="0" fillId="0" borderId="9" applyProtection="1" pivotButton="0" quotePrefix="0" xfId="0">
      <protection locked="0" hidden="0"/>
    </xf>
    <xf numFmtId="0" fontId="0" fillId="0" borderId="10" applyProtection="1" pivotButton="0" quotePrefix="0" xfId="0">
      <protection locked="0" hidden="0"/>
    </xf>
    <xf numFmtId="0" fontId="0" fillId="0" borderId="113" applyProtection="1" pivotButton="0" quotePrefix="0" xfId="0">
      <protection locked="0" hidden="0"/>
    </xf>
    <xf numFmtId="0" fontId="0" fillId="0" borderId="115" applyProtection="1" pivotButton="0" quotePrefix="0" xfId="0">
      <protection locked="0" hidden="0"/>
    </xf>
    <xf numFmtId="0" fontId="62" fillId="23" borderId="1" applyAlignment="1" pivotButton="0" quotePrefix="0" xfId="0">
      <alignment horizontal="center" vertical="center"/>
    </xf>
    <xf numFmtId="0" fontId="0" fillId="0" borderId="106" applyProtection="1" pivotButton="0" quotePrefix="0" xfId="0">
      <protection locked="0" hidden="0"/>
    </xf>
    <xf numFmtId="0" fontId="0" fillId="0" borderId="107" applyProtection="1" pivotButton="0" quotePrefix="0" xfId="0">
      <protection locked="0" hidden="0"/>
    </xf>
    <xf numFmtId="0" fontId="0" fillId="0" borderId="111" applyProtection="1" pivotButton="0" quotePrefix="0" xfId="0">
      <protection locked="0" hidden="0"/>
    </xf>
    <xf numFmtId="0" fontId="0" fillId="0" borderId="112" applyProtection="1" pivotButton="0" quotePrefix="0" xfId="0">
      <protection locked="0" hidden="0"/>
    </xf>
    <xf numFmtId="0" fontId="88" fillId="6" borderId="1" applyAlignment="1" applyProtection="1" pivotButton="0" quotePrefix="0" xfId="0">
      <alignment horizontal="center" vertical="center"/>
      <protection locked="0" hidden="0"/>
    </xf>
    <xf numFmtId="0" fontId="88" fillId="7" borderId="1" applyAlignment="1" applyProtection="1" pivotButton="0" quotePrefix="0" xfId="0">
      <alignment horizontal="center" vertical="center"/>
      <protection locked="0" hidden="0"/>
    </xf>
    <xf numFmtId="0" fontId="13" fillId="2" borderId="116" applyAlignment="1" pivotButton="0" quotePrefix="0" xfId="0">
      <alignment horizontal="center" vertical="center"/>
    </xf>
    <xf numFmtId="0" fontId="2" fillId="3" borderId="116" applyAlignment="1" pivotButton="0" quotePrefix="0" xfId="0">
      <alignment horizontal="center" vertical="center"/>
    </xf>
    <xf numFmtId="0" fontId="8" fillId="2" borderId="11" applyAlignment="1" pivotButton="0" quotePrefix="0" xfId="0">
      <alignment horizontal="left" vertical="center"/>
    </xf>
    <xf numFmtId="0" fontId="8" fillId="18" borderId="40" applyAlignment="1" pivotButton="0" quotePrefix="0" xfId="0">
      <alignment horizontal="left" vertical="center"/>
    </xf>
    <xf numFmtId="0" fontId="62" fillId="23" borderId="1" applyAlignment="1" pivotButton="0" quotePrefix="0" xfId="0">
      <alignment horizontal="center" vertical="center"/>
    </xf>
    <xf numFmtId="0" fontId="89" fillId="31" borderId="117" applyAlignment="1" pivotButton="0" quotePrefix="0" xfId="0">
      <alignment horizontal="left" vertical="center" indent="1"/>
    </xf>
    <xf numFmtId="0" fontId="0" fillId="32" borderId="118" pivotButton="0" quotePrefix="0" xfId="0"/>
    <xf numFmtId="0" fontId="14" fillId="6" borderId="1" applyAlignment="1" pivotButton="0" quotePrefix="0" xfId="0">
      <alignment horizontal="left" vertical="center"/>
    </xf>
    <xf numFmtId="0" fontId="12" fillId="7" borderId="1" applyAlignment="1" pivotButton="0" quotePrefix="0" xfId="0">
      <alignment horizontal="left" vertical="center"/>
    </xf>
    <xf numFmtId="0" fontId="89" fillId="31" borderId="120" applyAlignment="1" pivotButton="0" quotePrefix="0" xfId="0">
      <alignment horizontal="left" vertical="center" indent="1"/>
    </xf>
    <xf numFmtId="0" fontId="0" fillId="0" borderId="121" pivotButton="0" quotePrefix="0" xfId="0"/>
    <xf numFmtId="0" fontId="0" fillId="0" borderId="115" pivotButton="0" quotePrefix="0" xfId="0"/>
    <xf numFmtId="0" fontId="0" fillId="0" borderId="119" pivotButton="0" quotePrefix="0" xfId="0"/>
    <xf numFmtId="0" fontId="0" fillId="0" borderId="122" pivotButton="0" quotePrefix="0" xfId="0"/>
  </cellXfs>
  <cellStyles count="1">
    <cellStyle name="Normal" xfId="0" builtinId="0" hidden="0"/>
  </cellStyles>
  <dxfs count="4">
    <dxf>
      <font>
        <name val="Arial"/>
        <b val="1"/>
        <color rgb="00922B21"/>
        <sz val="10"/>
      </font>
      <fill>
        <patternFill patternType="solid">
          <fgColor rgb="00FADBD8"/>
        </patternFill>
      </fill>
    </dxf>
    <dxf>
      <font>
        <name val="Arial"/>
        <b val="1"/>
        <color rgb="00BA4A00"/>
        <sz val="10"/>
      </font>
      <fill>
        <patternFill patternType="solid">
          <fgColor rgb="00FAE5D3"/>
        </patternFill>
      </fill>
    </dxf>
    <dxf>
      <font>
        <name val="Arial"/>
        <b val="1"/>
        <color rgb="00B7950B"/>
        <sz val="10"/>
      </font>
      <fill>
        <patternFill patternType="solid">
          <fgColor rgb="00FCF3CF"/>
        </patternFill>
      </fill>
    </dxf>
    <dxf>
      <font>
        <name val="Arial"/>
        <b val="1"/>
        <color rgb="001E8449"/>
        <sz val="10"/>
      </font>
      <fill>
        <patternFill patternType="solid">
          <fgColor rgb="00D5F5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Mapa Energético — Feng Shui Chapéu Preto</a:t>
            </a:r>
          </a:p>
        </rich>
      </tx>
    </title>
    <plotArea>
      <radarChart>
        <radarStyle val="filled"/>
        <ser>
          <idx val="0"/>
          <order val="0"/>
          <tx>
            <strRef>
              <f>'🕸️ Mapa Radar'!B6</f>
            </strRef>
          </tx>
          <spPr>
            <a:ln xmlns:a="http://schemas.openxmlformats.org/drawingml/2006/main">
              <a:prstDash val="solid"/>
            </a:ln>
          </spPr>
          <marker>
            <symbol val="none"/>
            <spPr>
              <a:ln xmlns:a="http://schemas.openxmlformats.org/drawingml/2006/main">
                <a:prstDash val="solid"/>
              </a:ln>
            </spPr>
          </marker>
          <cat>
            <numRef>
              <f>'🕸️ Mapa Radar'!$A$7:$A$15</f>
            </numRef>
          </cat>
          <val>
            <numRef>
              <f>'🕸️ Mapa Radar'!$B$7:$B$15</f>
            </numRef>
          </val>
        </ser>
        <axId val="10"/>
        <axId val="100"/>
      </rad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5</row>
      <rowOff>0</rowOff>
    </from>
    <ext cx="576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D20"/>
  <sheetViews>
    <sheetView showGridLines="0" workbookViewId="0">
      <selection activeCell="A1" sqref="A1"/>
    </sheetView>
  </sheetViews>
  <sheetFormatPr baseColWidth="8" defaultRowHeight="15"/>
  <cols>
    <col width="22" customWidth="1" min="1" max="1"/>
    <col width="4" customWidth="1" min="2" max="2"/>
    <col width="4" customWidth="1" min="3" max="3"/>
    <col width="4" customWidth="1" min="4" max="4"/>
    <col width="22" customWidth="1" min="5" max="5"/>
    <col width="4" customWidth="1" min="6" max="6"/>
    <col width="4" customWidth="1" min="7" max="7"/>
    <col width="4" customWidth="1" min="8" max="8"/>
    <col width="22" customWidth="1" min="9" max="9"/>
    <col width="4" customWidth="1" min="10" max="10"/>
    <col width="4" customWidth="1" min="11" max="11"/>
    <col width="4" customWidth="1" min="12" max="12"/>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s>
  <sheetData>
    <row r="1" ht="35" customHeight="1">
      <c r="A1" s="1" t="inlineStr">
        <is>
          <t>🗺️  BA GUA AUTOMÁTICO — Chapéu Preto</t>
        </is>
      </c>
    </row>
    <row r="2" ht="10" customHeight="1"/>
    <row r="3" ht="22" customHeight="1">
      <c r="A3" s="2" t="inlineStr">
        <is>
          <t>ℹ️  Selecione a posição da Porta de Entrada. O Ba Gua se ajusta automaticamente.</t>
        </is>
      </c>
      <c r="B3" s="3" t="n"/>
      <c r="C3" s="3" t="n"/>
      <c r="D3" s="3" t="n"/>
      <c r="E3" s="3" t="n"/>
      <c r="F3" s="3" t="n"/>
      <c r="G3" s="3" t="n"/>
      <c r="H3" s="3" t="n"/>
      <c r="I3" s="3" t="n"/>
      <c r="J3" s="3" t="n"/>
      <c r="K3" s="3" t="n"/>
      <c r="L3" s="4" t="n"/>
    </row>
    <row r="4" ht="28" customHeight="1">
      <c r="A4" s="5" t="inlineStr">
        <is>
          <t>🚪 Porta de Entrada:</t>
        </is>
      </c>
      <c r="B4" s="4" t="n"/>
      <c r="C4" s="245" t="inlineStr">
        <is>
          <t>Centro-Frente</t>
        </is>
      </c>
      <c r="D4" s="339" t="n"/>
      <c r="E4" s="340" t="n"/>
      <c r="F4" s="9" t="inlineStr">
        <is>
          <t>← Selecione aqui</t>
        </is>
      </c>
    </row>
    <row r="6">
      <c r="N6" s="10" t="inlineStr">
        <is>
          <t>[TABELA INTERNA — NÃO EDITAR]</t>
        </is>
      </c>
      <c r="V6" s="11">
        <f>INDEX(O7:W9,MATCH($C$4,N7:N9,0),1)</f>
        <v/>
      </c>
      <c r="W6" s="11">
        <f>INDEX(O7:W9,MATCH($C$4,N7:N9,0),2)</f>
        <v/>
      </c>
      <c r="X6" s="11">
        <f>INDEX(O7:W9,MATCH($C$4,N7:N9,0),3)</f>
        <v/>
      </c>
      <c r="Y6" s="11">
        <f>INDEX(O7:W9,MATCH($C$4,N7:N9,0),4)</f>
        <v/>
      </c>
      <c r="Z6" s="11">
        <f>INDEX(O7:W9,MATCH($C$4,N7:N9,0),5)</f>
        <v/>
      </c>
      <c r="AA6" s="11">
        <f>INDEX(O7:W9,MATCH($C$4,N7:N9,0),6)</f>
        <v/>
      </c>
      <c r="AB6" s="11">
        <f>INDEX(O7:W9,MATCH($C$4,N7:N9,0),7)</f>
        <v/>
      </c>
      <c r="AC6" s="11">
        <f>INDEX(O7:W9,MATCH($C$4,N7:N9,0),8)</f>
        <v/>
      </c>
      <c r="AD6" s="11">
        <f>INDEX(O7:W9,MATCH($C$4,N7:N9,0),9)</f>
        <v/>
      </c>
    </row>
    <row r="7" ht="24" customHeight="1">
      <c r="A7" s="352" t="inlineStr">
        <is>
          <t>🏠 MAPA BA GUA — Atualiza conforme a Porta de Entrada</t>
        </is>
      </c>
      <c r="B7" s="13" t="n"/>
      <c r="C7" s="13" t="n"/>
      <c r="D7" s="13" t="n"/>
      <c r="E7" s="13" t="n"/>
      <c r="F7" s="13" t="n"/>
      <c r="G7" s="13" t="n"/>
      <c r="H7" s="13" t="n"/>
      <c r="I7" s="13" t="n"/>
      <c r="J7" s="13" t="n"/>
      <c r="K7" s="13" t="n"/>
      <c r="L7" s="14" t="n"/>
      <c r="N7" s="246" t="inlineStr">
        <is>
          <t>Centro-Frente</t>
        </is>
      </c>
      <c r="O7" s="11" t="inlineStr">
        <is>
          <t>Prosperidade</t>
        </is>
      </c>
      <c r="P7" s="11" t="inlineStr">
        <is>
          <t>Fama</t>
        </is>
      </c>
      <c r="Q7" s="11" t="inlineStr">
        <is>
          <t>Relacionamentos</t>
        </is>
      </c>
      <c r="R7" s="11" t="inlineStr">
        <is>
          <t>Família</t>
        </is>
      </c>
      <c r="S7" s="11" t="inlineStr">
        <is>
          <t>Saúde</t>
        </is>
      </c>
      <c r="T7" s="11" t="inlineStr">
        <is>
          <t>Criatividade</t>
        </is>
      </c>
      <c r="U7" s="11" t="inlineStr">
        <is>
          <t>Conhecimento</t>
        </is>
      </c>
      <c r="V7" s="11" t="inlineStr">
        <is>
          <t>Carreira</t>
        </is>
      </c>
      <c r="W7" s="11" t="inlineStr">
        <is>
          <t>Ajudantes</t>
        </is>
      </c>
    </row>
    <row r="8" ht="18" customHeight="1">
      <c r="A8" s="15" t="inlineStr">
        <is>
          <t>⬆️  FUNDO DA CASA</t>
        </is>
      </c>
      <c r="N8" s="246" t="inlineStr">
        <is>
          <t>Esquerda-Frente</t>
        </is>
      </c>
      <c r="O8" s="11" t="inlineStr">
        <is>
          <t>Fama</t>
        </is>
      </c>
      <c r="P8" s="11" t="inlineStr">
        <is>
          <t>Relacionamentos</t>
        </is>
      </c>
      <c r="Q8" s="11" t="inlineStr">
        <is>
          <t>Criatividade</t>
        </is>
      </c>
      <c r="R8" s="11" t="inlineStr">
        <is>
          <t>Prosperidade</t>
        </is>
      </c>
      <c r="S8" s="11" t="inlineStr">
        <is>
          <t>Saúde</t>
        </is>
      </c>
      <c r="T8" s="11" t="inlineStr">
        <is>
          <t>Ajudantes</t>
        </is>
      </c>
      <c r="U8" s="11" t="inlineStr">
        <is>
          <t>Família</t>
        </is>
      </c>
      <c r="V8" s="11" t="inlineStr">
        <is>
          <t>Conhecimento</t>
        </is>
      </c>
      <c r="W8" s="11" t="inlineStr">
        <is>
          <t>Carreira</t>
        </is>
      </c>
    </row>
    <row r="9" ht="28" customHeight="1">
      <c r="A9" s="16">
        <f>V6</f>
        <v/>
      </c>
      <c r="B9" s="13" t="n"/>
      <c r="C9" s="13" t="n"/>
      <c r="D9" s="14" t="n"/>
      <c r="E9" s="16">
        <f>W6</f>
        <v/>
      </c>
      <c r="F9" s="13" t="n"/>
      <c r="G9" s="13" t="n"/>
      <c r="H9" s="14" t="n"/>
      <c r="I9" s="16">
        <f>X6</f>
        <v/>
      </c>
      <c r="J9" s="13" t="n"/>
      <c r="K9" s="13" t="n"/>
      <c r="L9" s="14" t="n"/>
      <c r="N9" s="246" t="inlineStr">
        <is>
          <t>Direita-Frente</t>
        </is>
      </c>
      <c r="O9" s="11" t="inlineStr">
        <is>
          <t>Conhecimento</t>
        </is>
      </c>
      <c r="P9" s="11" t="inlineStr">
        <is>
          <t>Prosperidade</t>
        </is>
      </c>
      <c r="Q9" s="11" t="inlineStr">
        <is>
          <t>Fama</t>
        </is>
      </c>
      <c r="R9" s="11" t="inlineStr">
        <is>
          <t>Carreira</t>
        </is>
      </c>
      <c r="S9" s="11" t="inlineStr">
        <is>
          <t>Saúde</t>
        </is>
      </c>
      <c r="T9" s="11" t="inlineStr">
        <is>
          <t>Relacionamentos</t>
        </is>
      </c>
      <c r="U9" s="11" t="inlineStr">
        <is>
          <t>Ajudantes</t>
        </is>
      </c>
      <c r="V9" s="11" t="inlineStr">
        <is>
          <t>Criatividade</t>
        </is>
      </c>
      <c r="W9" s="11" t="inlineStr">
        <is>
          <t>Família</t>
        </is>
      </c>
    </row>
    <row r="10" ht="24" customHeight="1">
      <c r="A10" s="247" t="inlineStr">
        <is>
          <t>← Digite o cômodo</t>
        </is>
      </c>
      <c r="B10" s="255" t="n"/>
      <c r="C10" s="255" t="n"/>
      <c r="D10" s="254" t="n"/>
      <c r="E10" s="247" t="inlineStr">
        <is>
          <t>← Digite o cômodo</t>
        </is>
      </c>
      <c r="F10" s="255" t="n"/>
      <c r="G10" s="255" t="n"/>
      <c r="H10" s="254" t="n"/>
      <c r="I10" s="247" t="inlineStr">
        <is>
          <t>← Digite o cômodo</t>
        </is>
      </c>
      <c r="J10" s="255" t="n"/>
      <c r="K10" s="255" t="n"/>
      <c r="L10" s="254" t="n"/>
    </row>
    <row r="11" ht="20" customHeight="1">
      <c r="A11" s="248" t="inlineStr">
        <is>
          <t>Área Faltando? Não</t>
        </is>
      </c>
      <c r="B11" s="255" t="n"/>
      <c r="C11" s="255" t="n"/>
      <c r="D11" s="254" t="n"/>
      <c r="E11" s="248" t="inlineStr">
        <is>
          <t>Área Faltando? Não</t>
        </is>
      </c>
      <c r="F11" s="255" t="n"/>
      <c r="G11" s="255" t="n"/>
      <c r="H11" s="254" t="n"/>
      <c r="I11" s="248" t="inlineStr">
        <is>
          <t>Área Faltando? Não</t>
        </is>
      </c>
      <c r="J11" s="255" t="n"/>
      <c r="K11" s="255" t="n"/>
      <c r="L11" s="254" t="n"/>
    </row>
    <row r="12" ht="6" customHeight="1">
      <c r="A12" s="19" t="inlineStr"/>
    </row>
    <row r="13" ht="28" customHeight="1">
      <c r="A13" s="16">
        <f>Y6</f>
        <v/>
      </c>
      <c r="B13" s="13" t="n"/>
      <c r="C13" s="13" t="n"/>
      <c r="D13" s="14" t="n"/>
      <c r="E13" s="16">
        <f>Z6</f>
        <v/>
      </c>
      <c r="F13" s="13" t="n"/>
      <c r="G13" s="13" t="n"/>
      <c r="H13" s="14" t="n"/>
      <c r="I13" s="16">
        <f>AA6</f>
        <v/>
      </c>
      <c r="J13" s="13" t="n"/>
      <c r="K13" s="13" t="n"/>
      <c r="L13" s="14" t="n"/>
    </row>
    <row r="14" ht="24" customHeight="1">
      <c r="A14" s="247" t="inlineStr">
        <is>
          <t>← Digite o cômodo</t>
        </is>
      </c>
      <c r="B14" s="255" t="n"/>
      <c r="C14" s="255" t="n"/>
      <c r="D14" s="254" t="n"/>
      <c r="E14" s="247" t="inlineStr">
        <is>
          <t>← Digite o cômodo</t>
        </is>
      </c>
      <c r="F14" s="255" t="n"/>
      <c r="G14" s="255" t="n"/>
      <c r="H14" s="254" t="n"/>
      <c r="I14" s="247" t="inlineStr">
        <is>
          <t>← Digite o cômodo</t>
        </is>
      </c>
      <c r="J14" s="255" t="n"/>
      <c r="K14" s="255" t="n"/>
      <c r="L14" s="254" t="n"/>
    </row>
    <row r="15" ht="20" customHeight="1">
      <c r="A15" s="248" t="inlineStr">
        <is>
          <t>Área Faltando? Não</t>
        </is>
      </c>
      <c r="B15" s="255" t="n"/>
      <c r="C15" s="255" t="n"/>
      <c r="D15" s="254" t="n"/>
      <c r="E15" s="248" t="inlineStr">
        <is>
          <t>Área Faltando? Não</t>
        </is>
      </c>
      <c r="F15" s="255" t="n"/>
      <c r="G15" s="255" t="n"/>
      <c r="H15" s="254" t="n"/>
      <c r="I15" s="248" t="inlineStr">
        <is>
          <t>Área Faltando? Não</t>
        </is>
      </c>
      <c r="J15" s="255" t="n"/>
      <c r="K15" s="255" t="n"/>
      <c r="L15" s="254" t="n"/>
    </row>
    <row r="16" ht="6" customHeight="1">
      <c r="A16" s="19" t="inlineStr"/>
    </row>
    <row r="17" ht="28" customHeight="1">
      <c r="A17" s="16">
        <f>AB6</f>
        <v/>
      </c>
      <c r="B17" s="13" t="n"/>
      <c r="C17" s="13" t="n"/>
      <c r="D17" s="14" t="n"/>
      <c r="E17" s="16">
        <f>AC6</f>
        <v/>
      </c>
      <c r="F17" s="13" t="n"/>
      <c r="G17" s="13" t="n"/>
      <c r="H17" s="14" t="n"/>
      <c r="I17" s="16">
        <f>AD6</f>
        <v/>
      </c>
      <c r="J17" s="13" t="n"/>
      <c r="K17" s="13" t="n"/>
      <c r="L17" s="14" t="n"/>
    </row>
    <row r="18" ht="24" customHeight="1">
      <c r="A18" s="247" t="inlineStr">
        <is>
          <t>← Digite o cômodo</t>
        </is>
      </c>
      <c r="B18" s="255" t="n"/>
      <c r="C18" s="255" t="n"/>
      <c r="D18" s="254" t="n"/>
      <c r="E18" s="247" t="inlineStr">
        <is>
          <t>← Digite o cômodo</t>
        </is>
      </c>
      <c r="F18" s="255" t="n"/>
      <c r="G18" s="255" t="n"/>
      <c r="H18" s="254" t="n"/>
      <c r="I18" s="247" t="inlineStr">
        <is>
          <t>← Digite o cômodo</t>
        </is>
      </c>
      <c r="J18" s="255" t="n"/>
      <c r="K18" s="255" t="n"/>
      <c r="L18" s="254" t="n"/>
    </row>
    <row r="19" ht="20" customHeight="1">
      <c r="A19" s="248" t="inlineStr">
        <is>
          <t>Área Faltando? Não</t>
        </is>
      </c>
      <c r="B19" s="255" t="n"/>
      <c r="C19" s="255" t="n"/>
      <c r="D19" s="254" t="n"/>
      <c r="E19" s="248" t="inlineStr">
        <is>
          <t>Área Faltando? Não</t>
        </is>
      </c>
      <c r="F19" s="255" t="n"/>
      <c r="G19" s="255" t="n"/>
      <c r="H19" s="254" t="n"/>
      <c r="I19" s="248" t="inlineStr">
        <is>
          <t>Área Faltando? Não</t>
        </is>
      </c>
      <c r="J19" s="255" t="n"/>
      <c r="K19" s="255" t="n"/>
      <c r="L19" s="254" t="n"/>
    </row>
    <row r="20" ht="18" customHeight="1">
      <c r="A20" s="20" t="inlineStr">
        <is>
          <t>⬇️  FRENTE DA CASA — PORTA DE ENTRADA</t>
        </is>
      </c>
    </row>
  </sheetData>
  <mergeCells count="38">
    <mergeCell ref="I14:L14"/>
    <mergeCell ref="A16:L16"/>
    <mergeCell ref="A17:D17"/>
    <mergeCell ref="A7:L7"/>
    <mergeCell ref="I17:L17"/>
    <mergeCell ref="I10:L10"/>
    <mergeCell ref="A19:D19"/>
    <mergeCell ref="A10:D10"/>
    <mergeCell ref="A3:L3"/>
    <mergeCell ref="N6:T6"/>
    <mergeCell ref="I19:L19"/>
    <mergeCell ref="A12:L12"/>
    <mergeCell ref="A13:D13"/>
    <mergeCell ref="I13:L13"/>
    <mergeCell ref="A9:D9"/>
    <mergeCell ref="E18:H18"/>
    <mergeCell ref="I9:L9"/>
    <mergeCell ref="A1:L2"/>
    <mergeCell ref="F4:L4"/>
    <mergeCell ref="A8:L8"/>
    <mergeCell ref="A15:D15"/>
    <mergeCell ref="I15:L15"/>
    <mergeCell ref="A11:D11"/>
    <mergeCell ref="I11:L11"/>
    <mergeCell ref="E14:H14"/>
    <mergeCell ref="A20:L20"/>
    <mergeCell ref="E17:H17"/>
    <mergeCell ref="E19:H19"/>
    <mergeCell ref="E10:H10"/>
    <mergeCell ref="E13:H13"/>
    <mergeCell ref="A4:B4"/>
    <mergeCell ref="A18:D18"/>
    <mergeCell ref="E9:H9"/>
    <mergeCell ref="I18:L18"/>
    <mergeCell ref="C4:E4"/>
    <mergeCell ref="E15:H15"/>
    <mergeCell ref="E11:H11"/>
    <mergeCell ref="A14:D14"/>
  </mergeCells>
  <dataValidations count="1">
    <dataValidation sqref="C4" showDropDown="0" showInputMessage="0" showErrorMessage="0" allowBlank="0" errorTitle="Entrada Inválida" error="Selecione uma opção válida" promptTitle="Porta de Entrada" prompt="Escolha a posição da porta principal" type="list">
      <formula1>"Centro-Frente,Esquerda-Frente,Direita-Frente"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6"/>
  <sheetViews>
    <sheetView showGridLines="0" workbookViewId="0">
      <selection activeCell="A1" sqref="A1"/>
    </sheetView>
  </sheetViews>
  <sheetFormatPr baseColWidth="8" defaultRowHeight="15"/>
  <cols>
    <col width="28" customWidth="1" min="1" max="1"/>
    <col width="16" customWidth="1" min="2" max="2"/>
    <col width="14" customWidth="1" min="3" max="3"/>
    <col width="18" customWidth="1" min="4" max="4"/>
    <col width="30" customWidth="1" min="5" max="5"/>
    <col width="22" customWidth="1" min="6" max="6"/>
  </cols>
  <sheetData>
    <row r="1" ht="30" customHeight="1">
      <c r="A1" s="21" t="inlineStr">
        <is>
          <t>👤  CADASTRO DO CLIENTE</t>
        </is>
      </c>
    </row>
    <row r="2" ht="10" customHeight="1"/>
    <row r="3" ht="24" customHeight="1">
      <c r="A3" s="22" t="inlineStr">
        <is>
          <t>📌 DADOS DO CONSULTOR</t>
        </is>
      </c>
      <c r="B3" s="23" t="n"/>
      <c r="C3" s="23" t="n"/>
      <c r="D3" s="23" t="n"/>
      <c r="E3" s="23" t="n"/>
      <c r="F3" s="24" t="n"/>
    </row>
    <row r="4" ht="22" customHeight="1">
      <c r="A4" s="252" t="inlineStr">
        <is>
          <t>Nome do Cliente:</t>
        </is>
      </c>
      <c r="B4" s="253" t="inlineStr"/>
      <c r="C4" s="4" t="n"/>
      <c r="D4" s="252" t="inlineStr">
        <is>
          <t>CPF / Doc:</t>
        </is>
      </c>
      <c r="E4" s="253" t="inlineStr"/>
      <c r="F4" s="4" t="n"/>
    </row>
    <row r="5" ht="22" customHeight="1">
      <c r="A5" s="252" t="inlineStr">
        <is>
          <t>Nome do Consultor:</t>
        </is>
      </c>
      <c r="B5" s="358" t="inlineStr"/>
      <c r="C5" s="4" t="n"/>
      <c r="D5" s="252" t="inlineStr">
        <is>
          <t>Registro:</t>
        </is>
      </c>
      <c r="E5" s="358" t="inlineStr"/>
      <c r="F5" s="4" t="n"/>
    </row>
    <row r="6" ht="22" customHeight="1">
      <c r="A6" s="252" t="inlineStr">
        <is>
          <t>Empresa / Studio:</t>
        </is>
      </c>
      <c r="B6" s="358" t="inlineStr"/>
      <c r="C6" s="4" t="n"/>
      <c r="D6" s="252" t="inlineStr">
        <is>
          <t>WhatsApp:</t>
        </is>
      </c>
      <c r="E6" s="358" t="inlineStr"/>
      <c r="F6" s="4" t="n"/>
    </row>
    <row r="7">
      <c r="A7" s="252" t="inlineStr">
        <is>
          <t>E-mail:</t>
        </is>
      </c>
      <c r="B7" s="358" t="inlineStr"/>
      <c r="C7" s="254" t="n"/>
      <c r="D7" s="252" t="inlineStr">
        <is>
          <t>Data da Consulta:</t>
        </is>
      </c>
      <c r="E7" s="358" t="inlineStr"/>
      <c r="F7" s="254" t="n"/>
    </row>
    <row r="8" ht="24" customHeight="1">
      <c r="A8" s="249" t="n"/>
      <c r="B8" s="249" t="n"/>
      <c r="C8" s="249" t="n"/>
      <c r="D8" s="249" t="n"/>
      <c r="E8" s="249" t="n"/>
      <c r="F8" s="249" t="n"/>
    </row>
    <row r="9" ht="22" customHeight="1">
      <c r="A9" s="22" t="inlineStr">
        <is>
          <t>🏠 DADOS DO IMÓVEL</t>
        </is>
      </c>
      <c r="B9" s="251" t="n"/>
      <c r="C9" s="250" t="n"/>
      <c r="D9" s="250" t="n"/>
      <c r="E9" s="250" t="n"/>
      <c r="F9" s="251" t="n"/>
    </row>
    <row r="10" ht="22" customHeight="1">
      <c r="A10" s="252" t="inlineStr">
        <is>
          <t>Endereço:</t>
        </is>
      </c>
      <c r="B10" s="358" t="inlineStr"/>
      <c r="C10" s="4" t="n"/>
      <c r="D10" s="255" t="n"/>
      <c r="E10" s="255" t="n"/>
      <c r="F10" s="254" t="n"/>
    </row>
    <row r="11" ht="22" customHeight="1">
      <c r="A11" s="252" t="inlineStr">
        <is>
          <t>Tipo de Imóvel:</t>
        </is>
      </c>
      <c r="B11" s="358" t="inlineStr"/>
      <c r="C11" s="254" t="n"/>
      <c r="D11" s="249" t="n"/>
      <c r="E11" s="249" t="n"/>
      <c r="F11" s="249" t="n"/>
    </row>
    <row r="12" ht="22" customHeight="1">
      <c r="A12" s="252" t="inlineStr">
        <is>
          <t>Metragem (m²):</t>
        </is>
      </c>
      <c r="B12" s="249" t="n"/>
      <c r="C12" s="249" t="n"/>
      <c r="D12" s="249" t="n"/>
      <c r="E12" s="358" t="inlineStr"/>
      <c r="F12" s="254" t="n"/>
    </row>
    <row r="13" ht="22" customHeight="1">
      <c r="A13" s="252" t="inlineStr">
        <is>
          <t>Nº de Cômodos:</t>
        </is>
      </c>
      <c r="B13" s="358" t="inlineStr"/>
      <c r="C13" s="254" t="n"/>
      <c r="D13" s="249" t="n"/>
      <c r="E13" s="249" t="n"/>
      <c r="F13" s="249" t="n"/>
    </row>
    <row r="14" ht="22" customHeight="1">
      <c r="A14" s="252" t="inlineStr">
        <is>
          <t>Andar:</t>
        </is>
      </c>
      <c r="B14" s="341" t="n"/>
      <c r="C14" s="342" t="n"/>
      <c r="D14" s="342" t="n"/>
      <c r="E14" s="342" t="n"/>
      <c r="F14" s="341" t="n"/>
    </row>
    <row r="15">
      <c r="A15" s="252" t="inlineStr">
        <is>
          <t>Porta voltada para:</t>
        </is>
      </c>
      <c r="B15" s="358" t="inlineStr"/>
      <c r="C15" s="255" t="n"/>
      <c r="D15" s="255" t="n"/>
      <c r="E15" s="255" t="n"/>
      <c r="F15" s="254" t="n"/>
    </row>
    <row r="16" ht="24" customHeight="1">
      <c r="A16" s="249" t="n"/>
      <c r="B16" s="249" t="n"/>
      <c r="C16" s="249" t="n"/>
      <c r="D16" s="249" t="n"/>
      <c r="E16" s="249" t="n"/>
      <c r="F16" s="249" t="n"/>
    </row>
    <row r="17" ht="22" customHeight="1">
      <c r="A17" s="22" t="inlineStr">
        <is>
          <t>👨‍👩‍👧 COMPOSIÇÃO FAMILIAR</t>
        </is>
      </c>
      <c r="B17" s="250" t="n"/>
      <c r="C17" s="250" t="n"/>
      <c r="D17" s="250" t="n"/>
      <c r="E17" s="250" t="n"/>
      <c r="F17" s="251" t="n"/>
    </row>
    <row r="18" ht="20" customHeight="1">
      <c r="A18" s="27" t="inlineStr">
        <is>
          <t>Nome</t>
        </is>
      </c>
      <c r="B18" s="27" t="inlineStr">
        <is>
          <t>Relação</t>
        </is>
      </c>
      <c r="C18" s="27" t="inlineStr">
        <is>
          <t>Idade</t>
        </is>
      </c>
      <c r="D18" s="27" t="inlineStr">
        <is>
          <t>Quarto/Área</t>
        </is>
      </c>
      <c r="E18" s="27" t="inlineStr">
        <is>
          <t>Intenção Principal</t>
        </is>
      </c>
      <c r="F18" s="27" t="inlineStr">
        <is>
          <t>Setor Relevante</t>
        </is>
      </c>
    </row>
    <row r="19" ht="20" customHeight="1">
      <c r="A19" s="28" t="inlineStr"/>
      <c r="B19" s="28" t="inlineStr"/>
      <c r="C19" s="28" t="inlineStr"/>
      <c r="D19" s="28" t="inlineStr"/>
      <c r="E19" s="28" t="inlineStr"/>
      <c r="F19" s="28" t="inlineStr"/>
    </row>
    <row r="20" ht="20" customHeight="1">
      <c r="A20" s="358" t="inlineStr"/>
      <c r="B20" s="358" t="inlineStr"/>
      <c r="C20" s="358" t="inlineStr"/>
      <c r="D20" s="358" t="inlineStr"/>
      <c r="E20" s="358" t="inlineStr"/>
      <c r="F20" s="358" t="inlineStr"/>
    </row>
    <row r="21" ht="20" customHeight="1">
      <c r="A21" s="28" t="inlineStr"/>
      <c r="B21" s="28" t="inlineStr"/>
      <c r="C21" s="28" t="inlineStr"/>
      <c r="D21" s="28" t="inlineStr"/>
      <c r="E21" s="28" t="inlineStr"/>
      <c r="F21" s="28" t="inlineStr"/>
    </row>
    <row r="22" ht="20" customHeight="1">
      <c r="A22" s="358" t="inlineStr"/>
      <c r="B22" s="358" t="inlineStr"/>
      <c r="C22" s="358" t="inlineStr"/>
      <c r="D22" s="358" t="inlineStr"/>
      <c r="E22" s="358" t="inlineStr"/>
      <c r="F22" s="358" t="inlineStr"/>
    </row>
    <row r="23" ht="20" customHeight="1">
      <c r="A23" s="28" t="inlineStr"/>
      <c r="B23" s="28" t="inlineStr"/>
      <c r="C23" s="28" t="inlineStr"/>
      <c r="D23" s="28" t="inlineStr"/>
      <c r="E23" s="28" t="inlineStr"/>
      <c r="F23" s="28" t="inlineStr"/>
    </row>
    <row r="24">
      <c r="A24" s="358" t="inlineStr"/>
      <c r="B24" s="358" t="inlineStr"/>
      <c r="C24" s="358" t="inlineStr"/>
      <c r="D24" s="358" t="inlineStr"/>
      <c r="E24" s="358" t="inlineStr"/>
      <c r="F24" s="358" t="inlineStr"/>
    </row>
    <row r="25" ht="24" customHeight="1">
      <c r="A25" s="249" t="n"/>
      <c r="B25" s="249" t="n"/>
      <c r="C25" s="249" t="n"/>
      <c r="D25" s="249" t="n"/>
      <c r="E25" s="249" t="n"/>
      <c r="F25" s="249" t="n"/>
    </row>
    <row r="26" ht="22" customHeight="1">
      <c r="A26" s="22" t="inlineStr">
        <is>
          <t>🎯 INTENÇÕES POR ÁREA DE VIDA</t>
        </is>
      </c>
      <c r="B26" s="250" t="n"/>
      <c r="C26" s="250" t="n"/>
      <c r="D26" s="250" t="n"/>
      <c r="E26" s="251" t="n"/>
      <c r="F26" s="251" t="n"/>
    </row>
    <row r="27" ht="22" customHeight="1">
      <c r="A27" s="27" t="inlineStr">
        <is>
          <t>Área de Vida</t>
        </is>
      </c>
      <c r="B27" s="27" t="inlineStr">
        <is>
          <t>Prior.(1-9)</t>
        </is>
      </c>
      <c r="C27" s="27" t="inlineStr">
        <is>
          <t>Situação Atual</t>
        </is>
      </c>
      <c r="D27" s="29" t="n"/>
      <c r="E27" s="27" t="inlineStr">
        <is>
          <t>Desejo / Intenção</t>
        </is>
      </c>
      <c r="F27" s="29" t="n"/>
    </row>
    <row r="28" ht="22" customHeight="1">
      <c r="A28" s="30" t="inlineStr">
        <is>
          <t>Prosperidade / Finanças</t>
        </is>
      </c>
      <c r="B28" s="31" t="inlineStr"/>
      <c r="C28" s="358" t="inlineStr"/>
      <c r="D28" s="4" t="n"/>
      <c r="E28" s="358" t="inlineStr"/>
      <c r="F28" s="4" t="n"/>
    </row>
    <row r="29" ht="22" customHeight="1">
      <c r="A29" s="32" t="inlineStr">
        <is>
          <t>Saúde / Bem-estar</t>
        </is>
      </c>
      <c r="B29" s="31" t="inlineStr"/>
      <c r="C29" s="358" t="inlineStr"/>
      <c r="D29" s="4" t="n"/>
      <c r="E29" s="358" t="inlineStr"/>
      <c r="F29" s="4" t="n"/>
    </row>
    <row r="30" ht="22" customHeight="1">
      <c r="A30" s="33" t="inlineStr">
        <is>
          <t>Relacionamentos / Amor</t>
        </is>
      </c>
      <c r="B30" s="31" t="inlineStr"/>
      <c r="C30" s="358" t="inlineStr"/>
      <c r="D30" s="4" t="n"/>
      <c r="E30" s="358" t="inlineStr"/>
      <c r="F30" s="4" t="n"/>
    </row>
    <row r="31" ht="22" customHeight="1">
      <c r="A31" s="34" t="inlineStr">
        <is>
          <t>Carreira / Profissional</t>
        </is>
      </c>
      <c r="B31" s="31" t="inlineStr"/>
      <c r="C31" s="358" t="inlineStr"/>
      <c r="D31" s="4" t="n"/>
      <c r="E31" s="358" t="inlineStr"/>
      <c r="F31" s="4" t="n"/>
    </row>
    <row r="32" ht="22" customHeight="1">
      <c r="A32" s="35" t="inlineStr">
        <is>
          <t>Família / Harmonia</t>
        </is>
      </c>
      <c r="B32" s="31" t="inlineStr"/>
      <c r="C32" s="358" t="inlineStr"/>
      <c r="D32" s="4" t="n"/>
      <c r="E32" s="358" t="inlineStr"/>
      <c r="F32" s="4" t="n"/>
    </row>
    <row r="33" ht="22" customHeight="1">
      <c r="A33" s="34" t="inlineStr">
        <is>
          <t>Criatividade / Projetos</t>
        </is>
      </c>
      <c r="B33" s="31" t="inlineStr"/>
      <c r="C33" s="358" t="inlineStr"/>
      <c r="D33" s="4" t="n"/>
      <c r="E33" s="358" t="inlineStr"/>
      <c r="F33" s="4" t="n"/>
    </row>
    <row r="34" ht="22" customHeight="1">
      <c r="A34" s="36" t="inlineStr">
        <is>
          <t>Fama / Reconhecimento</t>
        </is>
      </c>
      <c r="B34" s="31" t="inlineStr"/>
      <c r="C34" s="358" t="inlineStr"/>
      <c r="D34" s="4" t="n"/>
      <c r="E34" s="358" t="inlineStr"/>
      <c r="F34" s="4" t="n"/>
    </row>
    <row r="35" ht="22" customHeight="1">
      <c r="A35" s="37" t="inlineStr">
        <is>
          <t>Conhecimento / Espiritualidade</t>
        </is>
      </c>
      <c r="B35" s="31" t="inlineStr"/>
      <c r="C35" s="358" t="inlineStr"/>
      <c r="D35" s="4" t="n"/>
      <c r="E35" s="358" t="inlineStr"/>
      <c r="F35" s="4" t="n"/>
    </row>
    <row r="36">
      <c r="A36" s="38" t="inlineStr">
        <is>
          <t>Ajudantes / Viagens</t>
        </is>
      </c>
      <c r="B36" s="31" t="inlineStr"/>
      <c r="C36" s="358" t="inlineStr"/>
      <c r="D36" s="254" t="n"/>
      <c r="E36" s="358" t="inlineStr"/>
      <c r="F36" s="254" t="n"/>
    </row>
  </sheetData>
  <mergeCells count="37">
    <mergeCell ref="A16:F16"/>
    <mergeCell ref="C34:D34"/>
    <mergeCell ref="C30:D30"/>
    <mergeCell ref="C33:D33"/>
    <mergeCell ref="E33:F33"/>
    <mergeCell ref="E5:F5"/>
    <mergeCell ref="A3:F3"/>
    <mergeCell ref="C26:D26"/>
    <mergeCell ref="C35:D35"/>
    <mergeCell ref="B12:C12"/>
    <mergeCell ref="E35:F35"/>
    <mergeCell ref="E4:F4"/>
    <mergeCell ref="C29:D29"/>
    <mergeCell ref="E29:F29"/>
    <mergeCell ref="A1:F2"/>
    <mergeCell ref="A8:F8"/>
    <mergeCell ref="E28:F28"/>
    <mergeCell ref="E13:F13"/>
    <mergeCell ref="B14:F14"/>
    <mergeCell ref="C31:D31"/>
    <mergeCell ref="E31:F31"/>
    <mergeCell ref="E34:F34"/>
    <mergeCell ref="E6:F6"/>
    <mergeCell ref="E30:F30"/>
    <mergeCell ref="C27:D27"/>
    <mergeCell ref="B10:C10"/>
    <mergeCell ref="E11:F11"/>
    <mergeCell ref="E27:F27"/>
    <mergeCell ref="E26:F26"/>
    <mergeCell ref="B9:F9"/>
    <mergeCell ref="B6:C6"/>
    <mergeCell ref="C32:D32"/>
    <mergeCell ref="E32:F32"/>
    <mergeCell ref="B5:C5"/>
    <mergeCell ref="C28:D28"/>
    <mergeCell ref="B4:C4"/>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2"/>
  <sheetViews>
    <sheetView showGridLines="0" workbookViewId="0">
      <selection activeCell="A1" sqref="A1"/>
    </sheetView>
  </sheetViews>
  <sheetFormatPr baseColWidth="8" defaultRowHeight="15"/>
  <cols>
    <col width="18" customWidth="1" min="1" max="1"/>
    <col width="22" customWidth="1" min="2" max="2"/>
    <col width="3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8" customWidth="1" min="13" max="13"/>
    <col width="12" customWidth="1" min="14" max="14"/>
  </cols>
  <sheetData>
    <row r="1" ht="30" customHeight="1">
      <c r="A1" s="21" t="inlineStr">
        <is>
          <t>🔍  DIAGNÓSTICO ENERGÉTICO — Checklist por Setor</t>
        </is>
      </c>
    </row>
    <row r="2" ht="10" customHeight="1"/>
    <row r="3" ht="20" customHeight="1">
      <c r="A3" s="39" t="inlineStr">
        <is>
          <t>LEGENDA → 3 = Sim/Bom | 2 = Parcial | 1 = Não/Ruim | 0 = Ausente/Crítico</t>
        </is>
      </c>
      <c r="B3" s="3" t="n"/>
      <c r="C3" s="3" t="n"/>
      <c r="D3" s="3" t="n"/>
      <c r="E3" s="3" t="n"/>
      <c r="F3" s="3" t="n"/>
      <c r="G3" s="3" t="n"/>
      <c r="H3" s="3" t="n"/>
      <c r="I3" s="3" t="n"/>
      <c r="J3" s="3" t="n"/>
      <c r="K3" s="3" t="n"/>
      <c r="L3" s="4" t="n"/>
    </row>
    <row r="4" ht="22" customHeight="1">
      <c r="A4" s="257" t="inlineStr">
        <is>
          <t>📝 CLIQUE NA CÉLULA AZUL e selecione:  0 = Crítico ❌  |  1 = Ruim ⚠️  |  2 = Parcial 🔶  |  3 = Bom ✅   (Células azuis = editáveis)</t>
        </is>
      </c>
      <c r="B4" s="3" t="n"/>
      <c r="C4" s="3" t="n"/>
      <c r="D4" s="3" t="n"/>
      <c r="E4" s="3" t="n"/>
      <c r="F4" s="3" t="n"/>
      <c r="G4" s="3" t="n"/>
      <c r="H4" s="3" t="n"/>
      <c r="I4" s="3" t="n"/>
      <c r="J4" s="3" t="n"/>
      <c r="K4" s="3" t="n"/>
      <c r="L4" s="4" t="n"/>
    </row>
    <row r="5" ht="24" customHeight="1">
      <c r="A5" s="40" t="inlineStr">
        <is>
          <t>Setor Ba Gua</t>
        </is>
      </c>
      <c r="B5" s="206" t="n"/>
      <c r="C5" s="206" t="n"/>
      <c r="D5" s="206" t="n"/>
      <c r="E5" s="206" t="n"/>
      <c r="F5" s="206" t="n"/>
      <c r="G5" s="206" t="n"/>
      <c r="H5" s="206" t="n"/>
      <c r="I5" s="206" t="n"/>
      <c r="J5" s="206" t="n"/>
      <c r="K5" s="206" t="n"/>
      <c r="L5" s="206" t="n"/>
      <c r="M5" s="206" t="n"/>
      <c r="N5" s="29" t="n"/>
    </row>
    <row r="6" ht="18" customHeight="1">
      <c r="A6" s="41" t="inlineStr">
        <is>
          <t>🔴 PROSPERIDADE</t>
        </is>
      </c>
      <c r="B6" s="43" t="n"/>
      <c r="C6" s="42" t="n"/>
      <c r="D6" s="42" t="n"/>
      <c r="E6" s="42" t="n"/>
      <c r="F6" s="42" t="n"/>
      <c r="G6" s="42" t="n"/>
      <c r="H6" s="42" t="n"/>
      <c r="I6" s="42" t="n"/>
      <c r="J6" s="42" t="n"/>
      <c r="K6" s="42" t="n"/>
      <c r="L6" s="42" t="n"/>
      <c r="M6" s="42" t="n"/>
      <c r="N6" s="43" t="n"/>
    </row>
    <row r="7" ht="22" customHeight="1">
      <c r="A7" s="44" t="inlineStr">
        <is>
          <t>Cômodo(s):</t>
        </is>
      </c>
      <c r="B7" s="45" t="inlineStr">
        <is>
          <t>Suíte 1 + Closet + Terraço Técnico</t>
        </is>
      </c>
      <c r="C7" s="3" t="n"/>
      <c r="D7" s="3" t="n"/>
      <c r="E7" s="3" t="n"/>
      <c r="F7" s="3" t="n"/>
      <c r="G7" s="3" t="n"/>
      <c r="H7" s="3" t="n"/>
      <c r="I7" s="3" t="n"/>
      <c r="J7" s="3" t="n"/>
      <c r="K7" s="3" t="n"/>
      <c r="L7" s="3" t="n"/>
      <c r="M7" s="3" t="n"/>
      <c r="N7" s="4" t="n"/>
    </row>
    <row r="8" ht="22" customHeight="1">
      <c r="A8" s="44" t="inlineStr">
        <is>
          <t>Prosperidade</t>
        </is>
      </c>
      <c r="B8" s="46" t="inlineStr">
        <is>
          <t>Suíte 1 + Closet + Terraço Técnico</t>
        </is>
      </c>
      <c r="C8" s="47" t="inlineStr">
        <is>
          <t>Tem boa iluminação natural e artificial?</t>
        </is>
      </c>
      <c r="D8" s="258" t="n">
        <v>3</v>
      </c>
      <c r="E8" s="258" t="n">
        <v>3</v>
      </c>
      <c r="F8" s="258" t="n">
        <v>3</v>
      </c>
      <c r="G8" s="258" t="n">
        <v>3</v>
      </c>
      <c r="H8" s="258" t="n">
        <v>3</v>
      </c>
      <c r="I8" s="258" t="n">
        <v>3</v>
      </c>
      <c r="J8" s="258" t="n">
        <v>3</v>
      </c>
      <c r="K8" s="258" t="n">
        <v>3</v>
      </c>
    </row>
    <row r="9" ht="22" customHeight="1">
      <c r="A9" s="48" t="inlineStr">
        <is>
          <t>Prosperidade</t>
        </is>
      </c>
      <c r="B9" s="49" t="inlineStr">
        <is>
          <t>Suíte 1 + Closet + Terraço Técnico</t>
        </is>
      </c>
      <c r="C9" s="50" t="inlineStr">
        <is>
          <t>Planta viva e saudável presente?</t>
        </is>
      </c>
      <c r="D9" s="258" t="n">
        <v>3</v>
      </c>
      <c r="E9" s="258" t="n">
        <v>3</v>
      </c>
      <c r="F9" s="258" t="n">
        <v>3</v>
      </c>
      <c r="G9" s="258" t="n">
        <v>3</v>
      </c>
      <c r="H9" s="258" t="n">
        <v>3</v>
      </c>
      <c r="I9" s="258" t="n">
        <v>3</v>
      </c>
      <c r="J9" s="258" t="n">
        <v>3</v>
      </c>
      <c r="K9" s="258" t="n">
        <v>3</v>
      </c>
    </row>
    <row r="10" ht="22" customHeight="1">
      <c r="A10" s="44" t="inlineStr">
        <is>
          <t>Prosperidade</t>
        </is>
      </c>
      <c r="B10" s="46" t="inlineStr">
        <is>
          <t>Suíte 1 + Closet + Terraço Técnico</t>
        </is>
      </c>
      <c r="C10" s="47" t="inlineStr">
        <is>
          <t>Espaço organizado, sem acúmulo?</t>
        </is>
      </c>
      <c r="D10" s="258" t="n">
        <v>3</v>
      </c>
      <c r="E10" s="258" t="n">
        <v>3</v>
      </c>
      <c r="F10" s="258" t="n">
        <v>3</v>
      </c>
      <c r="G10" s="258" t="n">
        <v>3</v>
      </c>
      <c r="H10" s="258" t="n">
        <v>3</v>
      </c>
      <c r="I10" s="258" t="n">
        <v>3</v>
      </c>
      <c r="J10" s="258" t="n">
        <v>3</v>
      </c>
      <c r="K10" s="258" t="n">
        <v>3</v>
      </c>
    </row>
    <row r="11" ht="22" customHeight="1">
      <c r="A11" s="48" t="inlineStr">
        <is>
          <t>Prosperidade</t>
        </is>
      </c>
      <c r="B11" s="49" t="inlineStr">
        <is>
          <t>Suíte 1 + Closet + Terraço Técnico</t>
        </is>
      </c>
      <c r="C11" s="50" t="inlineStr">
        <is>
          <t>Chi circula livremente (sem bloqueios)?</t>
        </is>
      </c>
      <c r="D11" s="258" t="n">
        <v>3</v>
      </c>
      <c r="E11" s="258" t="n">
        <v>3</v>
      </c>
      <c r="F11" s="258" t="n">
        <v>3</v>
      </c>
      <c r="G11" s="258" t="n">
        <v>3</v>
      </c>
      <c r="H11" s="258" t="n">
        <v>3</v>
      </c>
      <c r="I11" s="258" t="n">
        <v>3</v>
      </c>
      <c r="J11" s="258" t="n">
        <v>3</v>
      </c>
      <c r="K11" s="258" t="n">
        <v>3</v>
      </c>
    </row>
    <row r="12" ht="22" customHeight="1">
      <c r="A12" s="44" t="inlineStr">
        <is>
          <t>Prosperidade</t>
        </is>
      </c>
      <c r="B12" s="46" t="inlineStr">
        <is>
          <t>Suíte 1 + Closet + Terraço Técnico</t>
        </is>
      </c>
      <c r="C12" s="47" t="inlineStr">
        <is>
          <t>Cor dominante compatível com o setor?</t>
        </is>
      </c>
      <c r="D12" s="258" t="n">
        <v>3</v>
      </c>
      <c r="E12" s="258" t="n">
        <v>3</v>
      </c>
      <c r="F12" s="258" t="n">
        <v>3</v>
      </c>
      <c r="G12" s="258" t="n">
        <v>3</v>
      </c>
      <c r="H12" s="258" t="n">
        <v>3</v>
      </c>
      <c r="I12" s="258" t="n">
        <v>3</v>
      </c>
      <c r="J12" s="258" t="n">
        <v>3</v>
      </c>
      <c r="K12" s="258" t="n">
        <v>3</v>
      </c>
    </row>
    <row r="13" ht="22" customHeight="1">
      <c r="A13" s="48" t="inlineStr">
        <is>
          <t>Prosperidade</t>
        </is>
      </c>
      <c r="B13" s="49" t="inlineStr">
        <is>
          <t>Suíte 1 + Closet + Terraço Técnico</t>
        </is>
      </c>
      <c r="C13" s="50" t="inlineStr">
        <is>
          <t>Espelhos posicionados corretamente?</t>
        </is>
      </c>
      <c r="D13" s="258" t="n">
        <v>3</v>
      </c>
      <c r="E13" s="258" t="n">
        <v>3</v>
      </c>
      <c r="F13" s="258" t="n">
        <v>3</v>
      </c>
      <c r="G13" s="258" t="n">
        <v>3</v>
      </c>
      <c r="H13" s="258" t="n">
        <v>3</v>
      </c>
      <c r="I13" s="258" t="n">
        <v>3</v>
      </c>
      <c r="J13" s="258" t="n">
        <v>3</v>
      </c>
      <c r="K13" s="258" t="n">
        <v>3</v>
      </c>
    </row>
    <row r="14" ht="22" customHeight="1">
      <c r="A14" s="44" t="inlineStr">
        <is>
          <t>Prosperidade</t>
        </is>
      </c>
      <c r="B14" s="46" t="inlineStr">
        <is>
          <t>Suíte 1 + Closet + Terraço Técnico</t>
        </is>
      </c>
      <c r="C14" s="47" t="inlineStr">
        <is>
          <t>Porta abre 100%? Janelas funcionam?</t>
        </is>
      </c>
      <c r="D14" s="258" t="n">
        <v>3</v>
      </c>
      <c r="E14" s="258" t="n">
        <v>3</v>
      </c>
      <c r="F14" s="258" t="n">
        <v>3</v>
      </c>
      <c r="G14" s="258" t="n">
        <v>3</v>
      </c>
      <c r="H14" s="258" t="n">
        <v>3</v>
      </c>
      <c r="I14" s="258" t="n">
        <v>3</v>
      </c>
      <c r="J14" s="258" t="n">
        <v>3</v>
      </c>
      <c r="K14" s="258" t="n">
        <v>3</v>
      </c>
    </row>
    <row r="15" ht="26" customHeight="1">
      <c r="A15" s="48" t="inlineStr">
        <is>
          <t>Prosperidade</t>
        </is>
      </c>
      <c r="B15" s="49" t="inlineStr">
        <is>
          <t>Suíte 1 + Closet + Terraço Técnico</t>
        </is>
      </c>
      <c r="C15" s="4" t="n"/>
      <c r="D15" s="258" t="n">
        <v>3</v>
      </c>
      <c r="E15" s="258" t="n">
        <v>3</v>
      </c>
      <c r="F15" s="258" t="n">
        <v>3</v>
      </c>
      <c r="G15" s="258" t="n">
        <v>3</v>
      </c>
      <c r="H15" s="258" t="n">
        <v>3</v>
      </c>
      <c r="I15" s="258" t="n">
        <v>3</v>
      </c>
      <c r="J15" s="258" t="n">
        <v>3</v>
      </c>
      <c r="K15" s="258" t="n">
        <v>3</v>
      </c>
    </row>
    <row r="16">
      <c r="A16" s="30" t="inlineStr">
        <is>
          <t>TOTAL:</t>
        </is>
      </c>
      <c r="B16" s="51" t="inlineStr"/>
      <c r="C16" s="4" t="n"/>
      <c r="D16" s="51" t="inlineStr"/>
      <c r="E16" s="51" t="inlineStr"/>
      <c r="F16" s="51" t="inlineStr"/>
      <c r="G16" s="51" t="inlineStr"/>
      <c r="H16" s="51" t="inlineStr"/>
      <c r="I16" s="51" t="inlineStr"/>
      <c r="J16" s="51" t="inlineStr"/>
      <c r="K16" s="51" t="inlineStr"/>
      <c r="L16" s="52">
        <f>SUM(D7:K14)</f>
        <v/>
      </c>
      <c r="M16" s="53" t="n">
        <v>24</v>
      </c>
      <c r="N16" s="54">
        <f>IF(L15&gt;0,L15/M15,0)</f>
        <v/>
      </c>
    </row>
    <row r="17" ht="24" customHeight="1"/>
    <row r="18" ht="18" customHeight="1">
      <c r="A18" s="55" t="inlineStr">
        <is>
          <t>🔥 FAMA</t>
        </is>
      </c>
      <c r="B18" s="57" t="n"/>
      <c r="C18" s="56" t="n"/>
      <c r="D18" s="56" t="n"/>
      <c r="E18" s="56" t="n"/>
      <c r="F18" s="56" t="n"/>
      <c r="G18" s="56" t="n"/>
      <c r="H18" s="56" t="n"/>
      <c r="I18" s="56" t="n"/>
      <c r="J18" s="56" t="n"/>
      <c r="K18" s="56" t="n"/>
      <c r="L18" s="56" t="n"/>
      <c r="M18" s="56" t="n"/>
      <c r="N18" s="57" t="n"/>
    </row>
    <row r="19" ht="22" customHeight="1">
      <c r="A19" s="58" t="inlineStr">
        <is>
          <t>Cômodo(s):</t>
        </is>
      </c>
      <c r="B19" s="59" t="inlineStr">
        <is>
          <t>Suíte Master</t>
        </is>
      </c>
      <c r="C19" s="3" t="n"/>
      <c r="D19" s="3" t="n"/>
      <c r="E19" s="3" t="n"/>
      <c r="F19" s="3" t="n"/>
      <c r="G19" s="3" t="n"/>
      <c r="H19" s="3" t="n"/>
      <c r="I19" s="3" t="n"/>
      <c r="J19" s="3" t="n"/>
      <c r="K19" s="3" t="n"/>
      <c r="L19" s="3" t="n"/>
      <c r="M19" s="3" t="n"/>
      <c r="N19" s="4" t="n"/>
    </row>
    <row r="20" ht="22" customHeight="1">
      <c r="A20" s="58" t="inlineStr">
        <is>
          <t>Fama</t>
        </is>
      </c>
      <c r="B20" s="46" t="inlineStr">
        <is>
          <t>Suíte Master</t>
        </is>
      </c>
      <c r="C20" s="47" t="inlineStr">
        <is>
          <t>Tem boa iluminação natural e artificial?</t>
        </is>
      </c>
      <c r="D20" s="258" t="n">
        <v>3</v>
      </c>
      <c r="E20" s="258" t="n">
        <v>3</v>
      </c>
      <c r="F20" s="258" t="n">
        <v>3</v>
      </c>
      <c r="G20" s="258" t="n">
        <v>3</v>
      </c>
      <c r="H20" s="258" t="n">
        <v>3</v>
      </c>
      <c r="I20" s="258" t="n">
        <v>3</v>
      </c>
      <c r="J20" s="258" t="n">
        <v>3</v>
      </c>
      <c r="K20" s="258" t="n">
        <v>3</v>
      </c>
    </row>
    <row r="21" ht="22" customHeight="1">
      <c r="A21" s="60" t="inlineStr">
        <is>
          <t>Fama</t>
        </is>
      </c>
      <c r="B21" s="49" t="inlineStr">
        <is>
          <t>Suíte Master</t>
        </is>
      </c>
      <c r="C21" s="50" t="inlineStr">
        <is>
          <t>Planta viva e saudável presente?</t>
        </is>
      </c>
      <c r="D21" s="258" t="n">
        <v>3</v>
      </c>
      <c r="E21" s="258" t="n">
        <v>3</v>
      </c>
      <c r="F21" s="258" t="n">
        <v>3</v>
      </c>
      <c r="G21" s="258" t="n">
        <v>3</v>
      </c>
      <c r="H21" s="258" t="n">
        <v>3</v>
      </c>
      <c r="I21" s="258" t="n">
        <v>3</v>
      </c>
      <c r="J21" s="258" t="n">
        <v>3</v>
      </c>
      <c r="K21" s="258" t="n">
        <v>3</v>
      </c>
    </row>
    <row r="22" ht="22" customHeight="1">
      <c r="A22" s="58" t="inlineStr">
        <is>
          <t>Fama</t>
        </is>
      </c>
      <c r="B22" s="46" t="inlineStr">
        <is>
          <t>Suíte Master</t>
        </is>
      </c>
      <c r="C22" s="47" t="inlineStr">
        <is>
          <t>Espaço organizado, sem acúmulo?</t>
        </is>
      </c>
      <c r="D22" s="258" t="n">
        <v>3</v>
      </c>
      <c r="E22" s="258" t="n">
        <v>3</v>
      </c>
      <c r="F22" s="258" t="n">
        <v>3</v>
      </c>
      <c r="G22" s="258" t="n">
        <v>3</v>
      </c>
      <c r="H22" s="258" t="n">
        <v>3</v>
      </c>
      <c r="I22" s="258" t="n">
        <v>3</v>
      </c>
      <c r="J22" s="258" t="n">
        <v>3</v>
      </c>
      <c r="K22" s="258" t="n">
        <v>3</v>
      </c>
    </row>
    <row r="23" ht="22" customHeight="1">
      <c r="A23" s="60" t="inlineStr">
        <is>
          <t>Fama</t>
        </is>
      </c>
      <c r="B23" s="49" t="inlineStr">
        <is>
          <t>Suíte Master</t>
        </is>
      </c>
      <c r="C23" s="50" t="inlineStr">
        <is>
          <t>Chi circula livremente (sem bloqueios)?</t>
        </is>
      </c>
      <c r="D23" s="258" t="n">
        <v>3</v>
      </c>
      <c r="E23" s="258" t="n">
        <v>3</v>
      </c>
      <c r="F23" s="258" t="n">
        <v>3</v>
      </c>
      <c r="G23" s="258" t="n">
        <v>3</v>
      </c>
      <c r="H23" s="258" t="n">
        <v>3</v>
      </c>
      <c r="I23" s="258" t="n">
        <v>3</v>
      </c>
      <c r="J23" s="258" t="n">
        <v>3</v>
      </c>
      <c r="K23" s="258" t="n">
        <v>3</v>
      </c>
    </row>
    <row r="24" ht="22" customHeight="1">
      <c r="A24" s="58" t="inlineStr">
        <is>
          <t>Fama</t>
        </is>
      </c>
      <c r="B24" s="46" t="inlineStr">
        <is>
          <t>Suíte Master</t>
        </is>
      </c>
      <c r="C24" s="47" t="inlineStr">
        <is>
          <t>Cor dominante compatível com o setor?</t>
        </is>
      </c>
      <c r="D24" s="258" t="n">
        <v>3</v>
      </c>
      <c r="E24" s="258" t="n">
        <v>3</v>
      </c>
      <c r="F24" s="258" t="n">
        <v>3</v>
      </c>
      <c r="G24" s="258" t="n">
        <v>3</v>
      </c>
      <c r="H24" s="258" t="n">
        <v>3</v>
      </c>
      <c r="I24" s="258" t="n">
        <v>3</v>
      </c>
      <c r="J24" s="258" t="n">
        <v>3</v>
      </c>
      <c r="K24" s="258" t="n">
        <v>3</v>
      </c>
    </row>
    <row r="25" ht="22" customHeight="1">
      <c r="A25" s="60" t="inlineStr">
        <is>
          <t>Fama</t>
        </is>
      </c>
      <c r="B25" s="49" t="inlineStr">
        <is>
          <t>Suíte Master</t>
        </is>
      </c>
      <c r="C25" s="50" t="inlineStr">
        <is>
          <t>Espelhos posicionados corretamente?</t>
        </is>
      </c>
      <c r="D25" s="258" t="n">
        <v>3</v>
      </c>
      <c r="E25" s="258" t="n">
        <v>3</v>
      </c>
      <c r="F25" s="258" t="n">
        <v>3</v>
      </c>
      <c r="G25" s="258" t="n">
        <v>3</v>
      </c>
      <c r="H25" s="258" t="n">
        <v>3</v>
      </c>
      <c r="I25" s="258" t="n">
        <v>3</v>
      </c>
      <c r="J25" s="258" t="n">
        <v>3</v>
      </c>
      <c r="K25" s="258" t="n">
        <v>3</v>
      </c>
    </row>
    <row r="26" ht="22" customHeight="1">
      <c r="A26" s="58" t="inlineStr">
        <is>
          <t>Fama</t>
        </is>
      </c>
      <c r="B26" s="46" t="inlineStr">
        <is>
          <t>Suíte Master</t>
        </is>
      </c>
      <c r="C26" s="47" t="inlineStr">
        <is>
          <t>Porta abre 100%? Janelas funcionam?</t>
        </is>
      </c>
      <c r="D26" s="258" t="n">
        <v>3</v>
      </c>
      <c r="E26" s="258" t="n">
        <v>3</v>
      </c>
      <c r="F26" s="258" t="n">
        <v>3</v>
      </c>
      <c r="G26" s="258" t="n">
        <v>3</v>
      </c>
      <c r="H26" s="258" t="n">
        <v>3</v>
      </c>
      <c r="I26" s="258" t="n">
        <v>3</v>
      </c>
      <c r="J26" s="258" t="n">
        <v>3</v>
      </c>
      <c r="K26" s="258" t="n">
        <v>3</v>
      </c>
    </row>
    <row r="27" ht="26" customHeight="1">
      <c r="A27" s="60" t="inlineStr">
        <is>
          <t>Fama</t>
        </is>
      </c>
      <c r="B27" s="49" t="inlineStr">
        <is>
          <t>Suíte Master</t>
        </is>
      </c>
      <c r="C27" s="4" t="n"/>
      <c r="D27" s="258" t="n">
        <v>3</v>
      </c>
      <c r="E27" s="258" t="n">
        <v>3</v>
      </c>
      <c r="F27" s="258" t="n">
        <v>3</v>
      </c>
      <c r="G27" s="258" t="n">
        <v>3</v>
      </c>
      <c r="H27" s="258" t="n">
        <v>3</v>
      </c>
      <c r="I27" s="258" t="n">
        <v>3</v>
      </c>
      <c r="J27" s="258" t="n">
        <v>3</v>
      </c>
      <c r="K27" s="258" t="n">
        <v>3</v>
      </c>
    </row>
    <row r="28">
      <c r="A28" s="36" t="inlineStr">
        <is>
          <t>TOTAL:</t>
        </is>
      </c>
      <c r="B28" s="51" t="inlineStr"/>
      <c r="C28" s="4" t="n"/>
      <c r="D28" s="51" t="inlineStr"/>
      <c r="E28" s="51" t="inlineStr"/>
      <c r="F28" s="51" t="inlineStr"/>
      <c r="G28" s="51" t="inlineStr"/>
      <c r="H28" s="51" t="inlineStr"/>
      <c r="I28" s="51" t="inlineStr"/>
      <c r="J28" s="51" t="inlineStr"/>
      <c r="K28" s="51" t="inlineStr"/>
      <c r="L28" s="61">
        <f>SUM(D19:K26)</f>
        <v/>
      </c>
      <c r="M28" s="53" t="n">
        <v>24</v>
      </c>
      <c r="N28" s="62">
        <f>IF(L27&gt;0,L27/M27,0)</f>
        <v/>
      </c>
    </row>
    <row r="29" ht="24" customHeight="1"/>
    <row r="30" ht="18" customHeight="1">
      <c r="A30" s="63" t="inlineStr">
        <is>
          <t>💜 RELACIONAMENTOS</t>
        </is>
      </c>
      <c r="B30" s="65" t="n"/>
      <c r="C30" s="64" t="n"/>
      <c r="D30" s="64" t="n"/>
      <c r="E30" s="64" t="n"/>
      <c r="F30" s="64" t="n"/>
      <c r="G30" s="64" t="n"/>
      <c r="H30" s="64" t="n"/>
      <c r="I30" s="64" t="n"/>
      <c r="J30" s="64" t="n"/>
      <c r="K30" s="64" t="n"/>
      <c r="L30" s="64" t="n"/>
      <c r="M30" s="64" t="n"/>
      <c r="N30" s="65" t="n"/>
    </row>
    <row r="31" ht="22" customHeight="1">
      <c r="A31" s="66" t="inlineStr">
        <is>
          <t>Cômodo(s):</t>
        </is>
      </c>
      <c r="B31" s="67" t="inlineStr">
        <is>
          <t>Suíte 2 + Home Office</t>
        </is>
      </c>
      <c r="C31" s="3" t="n"/>
      <c r="D31" s="3" t="n"/>
      <c r="E31" s="3" t="n"/>
      <c r="F31" s="3" t="n"/>
      <c r="G31" s="3" t="n"/>
      <c r="H31" s="3" t="n"/>
      <c r="I31" s="3" t="n"/>
      <c r="J31" s="3" t="n"/>
      <c r="K31" s="3" t="n"/>
      <c r="L31" s="3" t="n"/>
      <c r="M31" s="3" t="n"/>
      <c r="N31" s="4" t="n"/>
    </row>
    <row r="32" ht="22" customHeight="1">
      <c r="A32" s="66" t="inlineStr">
        <is>
          <t>Relacionamentos</t>
        </is>
      </c>
      <c r="B32" s="68" t="inlineStr">
        <is>
          <t>Suíte 2 + Home Office</t>
        </is>
      </c>
      <c r="C32" s="69" t="inlineStr">
        <is>
          <t>Tem boa iluminação natural e artificial?</t>
        </is>
      </c>
      <c r="D32" s="258" t="n">
        <v>3</v>
      </c>
      <c r="E32" s="258" t="n">
        <v>3</v>
      </c>
      <c r="F32" s="258" t="n">
        <v>3</v>
      </c>
      <c r="G32" s="258" t="n">
        <v>3</v>
      </c>
      <c r="H32" s="258" t="n">
        <v>3</v>
      </c>
      <c r="I32" s="258" t="n">
        <v>3</v>
      </c>
      <c r="J32" s="258" t="n">
        <v>3</v>
      </c>
      <c r="K32" s="258" t="n">
        <v>3</v>
      </c>
    </row>
    <row r="33" ht="22" customHeight="1">
      <c r="A33" s="70" t="inlineStr">
        <is>
          <t>Relacionamentos</t>
        </is>
      </c>
      <c r="B33" s="49" t="inlineStr">
        <is>
          <t>Suíte 2 + Home Office</t>
        </is>
      </c>
      <c r="C33" s="50" t="inlineStr">
        <is>
          <t>Planta viva e saudável presente?</t>
        </is>
      </c>
      <c r="D33" s="258" t="n">
        <v>3</v>
      </c>
      <c r="E33" s="258" t="n">
        <v>3</v>
      </c>
      <c r="F33" s="258" t="n">
        <v>3</v>
      </c>
      <c r="G33" s="258" t="n">
        <v>3</v>
      </c>
      <c r="H33" s="258" t="n">
        <v>3</v>
      </c>
      <c r="I33" s="258" t="n">
        <v>3</v>
      </c>
      <c r="J33" s="258" t="n">
        <v>3</v>
      </c>
      <c r="K33" s="258" t="n">
        <v>3</v>
      </c>
    </row>
    <row r="34" ht="22" customHeight="1">
      <c r="A34" s="66" t="inlineStr">
        <is>
          <t>Relacionamentos</t>
        </is>
      </c>
      <c r="B34" s="68" t="inlineStr">
        <is>
          <t>Suíte 2 + Home Office</t>
        </is>
      </c>
      <c r="C34" s="69" t="inlineStr">
        <is>
          <t>Espaço organizado, sem acúmulo?</t>
        </is>
      </c>
      <c r="D34" s="258" t="n">
        <v>3</v>
      </c>
      <c r="E34" s="258" t="n">
        <v>3</v>
      </c>
      <c r="F34" s="258" t="n">
        <v>3</v>
      </c>
      <c r="G34" s="258" t="n">
        <v>3</v>
      </c>
      <c r="H34" s="258" t="n">
        <v>3</v>
      </c>
      <c r="I34" s="258" t="n">
        <v>3</v>
      </c>
      <c r="J34" s="258" t="n">
        <v>3</v>
      </c>
      <c r="K34" s="258" t="n">
        <v>3</v>
      </c>
    </row>
    <row r="35" ht="22" customHeight="1">
      <c r="A35" s="70" t="inlineStr">
        <is>
          <t>Relacionamentos</t>
        </is>
      </c>
      <c r="B35" s="49" t="inlineStr">
        <is>
          <t>Suíte 2 + Home Office</t>
        </is>
      </c>
      <c r="C35" s="50" t="inlineStr">
        <is>
          <t>Chi circula livremente (sem bloqueios)?</t>
        </is>
      </c>
      <c r="D35" s="258" t="n">
        <v>3</v>
      </c>
      <c r="E35" s="258" t="n">
        <v>3</v>
      </c>
      <c r="F35" s="258" t="n">
        <v>3</v>
      </c>
      <c r="G35" s="258" t="n">
        <v>3</v>
      </c>
      <c r="H35" s="258" t="n">
        <v>3</v>
      </c>
      <c r="I35" s="258" t="n">
        <v>3</v>
      </c>
      <c r="J35" s="258" t="n">
        <v>3</v>
      </c>
      <c r="K35" s="258" t="n">
        <v>3</v>
      </c>
    </row>
    <row r="36" ht="22" customHeight="1">
      <c r="A36" s="66" t="inlineStr">
        <is>
          <t>Relacionamentos</t>
        </is>
      </c>
      <c r="B36" s="68" t="inlineStr">
        <is>
          <t>Suíte 2 + Home Office</t>
        </is>
      </c>
      <c r="C36" s="69" t="inlineStr">
        <is>
          <t>Cor dominante compatível com o setor?</t>
        </is>
      </c>
      <c r="D36" s="258" t="n">
        <v>3</v>
      </c>
      <c r="E36" s="258" t="n">
        <v>3</v>
      </c>
      <c r="F36" s="258" t="n">
        <v>3</v>
      </c>
      <c r="G36" s="258" t="n">
        <v>3</v>
      </c>
      <c r="H36" s="258" t="n">
        <v>3</v>
      </c>
      <c r="I36" s="258" t="n">
        <v>3</v>
      </c>
      <c r="J36" s="258" t="n">
        <v>3</v>
      </c>
      <c r="K36" s="258" t="n">
        <v>3</v>
      </c>
    </row>
    <row r="37" ht="22" customHeight="1">
      <c r="A37" s="70" t="inlineStr">
        <is>
          <t>Relacionamentos</t>
        </is>
      </c>
      <c r="B37" s="49" t="inlineStr">
        <is>
          <t>Suíte 2 + Home Office</t>
        </is>
      </c>
      <c r="C37" s="50" t="inlineStr">
        <is>
          <t>Espelhos posicionados corretamente?</t>
        </is>
      </c>
      <c r="D37" s="258" t="n">
        <v>3</v>
      </c>
      <c r="E37" s="258" t="n">
        <v>3</v>
      </c>
      <c r="F37" s="258" t="n">
        <v>3</v>
      </c>
      <c r="G37" s="258" t="n">
        <v>3</v>
      </c>
      <c r="H37" s="258" t="n">
        <v>3</v>
      </c>
      <c r="I37" s="258" t="n">
        <v>3</v>
      </c>
      <c r="J37" s="258" t="n">
        <v>3</v>
      </c>
      <c r="K37" s="258" t="n">
        <v>3</v>
      </c>
    </row>
    <row r="38" ht="22" customHeight="1">
      <c r="A38" s="66" t="inlineStr">
        <is>
          <t>Relacionamentos</t>
        </is>
      </c>
      <c r="B38" s="68" t="inlineStr">
        <is>
          <t>Suíte 2 + Home Office</t>
        </is>
      </c>
      <c r="C38" s="69" t="inlineStr">
        <is>
          <t>Porta abre 100%? Janelas funcionam?</t>
        </is>
      </c>
      <c r="D38" s="258" t="n">
        <v>3</v>
      </c>
      <c r="E38" s="258" t="n">
        <v>3</v>
      </c>
      <c r="F38" s="258" t="n">
        <v>3</v>
      </c>
      <c r="G38" s="258" t="n">
        <v>3</v>
      </c>
      <c r="H38" s="258" t="n">
        <v>3</v>
      </c>
      <c r="I38" s="258" t="n">
        <v>3</v>
      </c>
      <c r="J38" s="258" t="n">
        <v>3</v>
      </c>
      <c r="K38" s="258" t="n">
        <v>3</v>
      </c>
    </row>
    <row r="39" ht="26" customHeight="1">
      <c r="A39" s="70" t="inlineStr">
        <is>
          <t>Relacionamentos</t>
        </is>
      </c>
      <c r="B39" s="49" t="inlineStr">
        <is>
          <t>Suíte 2 + Home Office</t>
        </is>
      </c>
      <c r="C39" s="4" t="n"/>
      <c r="D39" s="258" t="n">
        <v>3</v>
      </c>
      <c r="E39" s="258" t="n">
        <v>3</v>
      </c>
      <c r="F39" s="258" t="n">
        <v>3</v>
      </c>
      <c r="G39" s="258" t="n">
        <v>3</v>
      </c>
      <c r="H39" s="258" t="n">
        <v>3</v>
      </c>
      <c r="I39" s="258" t="n">
        <v>3</v>
      </c>
      <c r="J39" s="258" t="n">
        <v>3</v>
      </c>
      <c r="K39" s="258" t="n">
        <v>3</v>
      </c>
    </row>
    <row r="40">
      <c r="A40" s="33" t="inlineStr">
        <is>
          <t>TOTAL:</t>
        </is>
      </c>
      <c r="B40" s="28" t="inlineStr"/>
      <c r="C40" s="4" t="n"/>
      <c r="D40" s="28" t="inlineStr"/>
      <c r="E40" s="28" t="inlineStr"/>
      <c r="F40" s="28" t="inlineStr"/>
      <c r="G40" s="28" t="inlineStr"/>
      <c r="H40" s="28" t="inlineStr"/>
      <c r="I40" s="28" t="inlineStr"/>
      <c r="J40" s="28" t="inlineStr"/>
      <c r="K40" s="28" t="inlineStr"/>
      <c r="L40" s="71">
        <f>SUM(D31:K38)</f>
        <v/>
      </c>
      <c r="M40" s="72" t="n">
        <v>24</v>
      </c>
      <c r="N40" s="73">
        <f>IF(L39&gt;0,L39/M39,0)</f>
        <v/>
      </c>
    </row>
    <row r="41" ht="24" customHeight="1"/>
    <row r="42" ht="18" customHeight="1">
      <c r="A42" s="74" t="inlineStr">
        <is>
          <t>🌿 FAMÍLIA</t>
        </is>
      </c>
      <c r="B42" s="76" t="n"/>
      <c r="C42" s="75" t="n"/>
      <c r="D42" s="75" t="n"/>
      <c r="E42" s="75" t="n"/>
      <c r="F42" s="75" t="n"/>
      <c r="G42" s="75" t="n"/>
      <c r="H42" s="75" t="n"/>
      <c r="I42" s="75" t="n"/>
      <c r="J42" s="75" t="n"/>
      <c r="K42" s="75" t="n"/>
      <c r="L42" s="75" t="n"/>
      <c r="M42" s="75" t="n"/>
      <c r="N42" s="76" t="n"/>
    </row>
    <row r="43" ht="22" customHeight="1">
      <c r="A43" s="77" t="inlineStr">
        <is>
          <t>Cômodo(s):</t>
        </is>
      </c>
      <c r="B43" s="78" t="inlineStr">
        <is>
          <t>Lavanderia + Dorm. Serviço</t>
        </is>
      </c>
      <c r="C43" s="3" t="n"/>
      <c r="D43" s="3" t="n"/>
      <c r="E43" s="3" t="n"/>
      <c r="F43" s="3" t="n"/>
      <c r="G43" s="3" t="n"/>
      <c r="H43" s="3" t="n"/>
      <c r="I43" s="3" t="n"/>
      <c r="J43" s="3" t="n"/>
      <c r="K43" s="3" t="n"/>
      <c r="L43" s="3" t="n"/>
      <c r="M43" s="3" t="n"/>
      <c r="N43" s="4" t="n"/>
    </row>
    <row r="44" ht="22" customHeight="1">
      <c r="A44" s="77" t="inlineStr">
        <is>
          <t>Família</t>
        </is>
      </c>
      <c r="B44" s="79" t="inlineStr">
        <is>
          <t>Lavanderia + Dorm. Serviço</t>
        </is>
      </c>
      <c r="C44" s="80" t="inlineStr">
        <is>
          <t>Tem boa iluminação natural e artificial?</t>
        </is>
      </c>
      <c r="D44" s="258" t="n">
        <v>3</v>
      </c>
      <c r="E44" s="258" t="n">
        <v>3</v>
      </c>
      <c r="F44" s="258" t="n">
        <v>3</v>
      </c>
      <c r="G44" s="258" t="n">
        <v>3</v>
      </c>
      <c r="H44" s="258" t="n">
        <v>3</v>
      </c>
      <c r="I44" s="258" t="n">
        <v>3</v>
      </c>
      <c r="J44" s="258" t="n">
        <v>3</v>
      </c>
      <c r="K44" s="258" t="n">
        <v>3</v>
      </c>
    </row>
    <row r="45" ht="22" customHeight="1">
      <c r="A45" s="81" t="inlineStr">
        <is>
          <t>Família</t>
        </is>
      </c>
      <c r="B45" s="49" t="inlineStr">
        <is>
          <t>Lavanderia + Dorm. Serviço</t>
        </is>
      </c>
      <c r="C45" s="50" t="inlineStr">
        <is>
          <t>Planta viva e saudável presente?</t>
        </is>
      </c>
      <c r="D45" s="258" t="n">
        <v>3</v>
      </c>
      <c r="E45" s="258" t="n">
        <v>3</v>
      </c>
      <c r="F45" s="258" t="n">
        <v>3</v>
      </c>
      <c r="G45" s="258" t="n">
        <v>3</v>
      </c>
      <c r="H45" s="258" t="n">
        <v>3</v>
      </c>
      <c r="I45" s="258" t="n">
        <v>3</v>
      </c>
      <c r="J45" s="258" t="n">
        <v>3</v>
      </c>
      <c r="K45" s="258" t="n">
        <v>3</v>
      </c>
    </row>
    <row r="46" ht="22" customHeight="1">
      <c r="A46" s="77" t="inlineStr">
        <is>
          <t>Família</t>
        </is>
      </c>
      <c r="B46" s="79" t="inlineStr">
        <is>
          <t>Lavanderia + Dorm. Serviço</t>
        </is>
      </c>
      <c r="C46" s="80" t="inlineStr">
        <is>
          <t>Espaço organizado, sem acúmulo?</t>
        </is>
      </c>
      <c r="D46" s="258" t="n">
        <v>3</v>
      </c>
      <c r="E46" s="258" t="n">
        <v>3</v>
      </c>
      <c r="F46" s="258" t="n">
        <v>3</v>
      </c>
      <c r="G46" s="258" t="n">
        <v>3</v>
      </c>
      <c r="H46" s="258" t="n">
        <v>3</v>
      </c>
      <c r="I46" s="258" t="n">
        <v>3</v>
      </c>
      <c r="J46" s="258" t="n">
        <v>3</v>
      </c>
      <c r="K46" s="258" t="n">
        <v>3</v>
      </c>
    </row>
    <row r="47" ht="22" customHeight="1">
      <c r="A47" s="81" t="inlineStr">
        <is>
          <t>Família</t>
        </is>
      </c>
      <c r="B47" s="49" t="inlineStr">
        <is>
          <t>Lavanderia + Dorm. Serviço</t>
        </is>
      </c>
      <c r="C47" s="50" t="inlineStr">
        <is>
          <t>Chi circula livremente (sem bloqueios)?</t>
        </is>
      </c>
      <c r="D47" s="258" t="n">
        <v>3</v>
      </c>
      <c r="E47" s="258" t="n">
        <v>3</v>
      </c>
      <c r="F47" s="258" t="n">
        <v>3</v>
      </c>
      <c r="G47" s="258" t="n">
        <v>3</v>
      </c>
      <c r="H47" s="258" t="n">
        <v>3</v>
      </c>
      <c r="I47" s="258" t="n">
        <v>3</v>
      </c>
      <c r="J47" s="258" t="n">
        <v>3</v>
      </c>
      <c r="K47" s="258" t="n">
        <v>3</v>
      </c>
    </row>
    <row r="48" ht="22" customHeight="1">
      <c r="A48" s="77" t="inlineStr">
        <is>
          <t>Família</t>
        </is>
      </c>
      <c r="B48" s="79" t="inlineStr">
        <is>
          <t>Lavanderia + Dorm. Serviço</t>
        </is>
      </c>
      <c r="C48" s="80" t="inlineStr">
        <is>
          <t>Cor dominante compatível com o setor?</t>
        </is>
      </c>
      <c r="D48" s="258" t="n">
        <v>3</v>
      </c>
      <c r="E48" s="258" t="n">
        <v>3</v>
      </c>
      <c r="F48" s="258" t="n">
        <v>3</v>
      </c>
      <c r="G48" s="258" t="n">
        <v>3</v>
      </c>
      <c r="H48" s="258" t="n">
        <v>3</v>
      </c>
      <c r="I48" s="258" t="n">
        <v>3</v>
      </c>
      <c r="J48" s="258" t="n">
        <v>3</v>
      </c>
      <c r="K48" s="258" t="n">
        <v>3</v>
      </c>
    </row>
    <row r="49" ht="22" customHeight="1">
      <c r="A49" s="81" t="inlineStr">
        <is>
          <t>Família</t>
        </is>
      </c>
      <c r="B49" s="49" t="inlineStr">
        <is>
          <t>Lavanderia + Dorm. Serviço</t>
        </is>
      </c>
      <c r="C49" s="50" t="inlineStr">
        <is>
          <t>Espelhos posicionados corretamente?</t>
        </is>
      </c>
      <c r="D49" s="258" t="n">
        <v>3</v>
      </c>
      <c r="E49" s="258" t="n">
        <v>3</v>
      </c>
      <c r="F49" s="258" t="n">
        <v>3</v>
      </c>
      <c r="G49" s="258" t="n">
        <v>3</v>
      </c>
      <c r="H49" s="258" t="n">
        <v>3</v>
      </c>
      <c r="I49" s="258" t="n">
        <v>3</v>
      </c>
      <c r="J49" s="258" t="n">
        <v>3</v>
      </c>
      <c r="K49" s="258" t="n">
        <v>3</v>
      </c>
    </row>
    <row r="50" ht="22" customHeight="1">
      <c r="A50" s="77" t="inlineStr">
        <is>
          <t>Família</t>
        </is>
      </c>
      <c r="B50" s="79" t="inlineStr">
        <is>
          <t>Lavanderia + Dorm. Serviço</t>
        </is>
      </c>
      <c r="C50" s="80" t="inlineStr">
        <is>
          <t>Porta abre 100%? Janelas funcionam?</t>
        </is>
      </c>
      <c r="D50" s="258" t="n">
        <v>3</v>
      </c>
      <c r="E50" s="258" t="n">
        <v>3</v>
      </c>
      <c r="F50" s="258" t="n">
        <v>3</v>
      </c>
      <c r="G50" s="258" t="n">
        <v>3</v>
      </c>
      <c r="H50" s="258" t="n">
        <v>3</v>
      </c>
      <c r="I50" s="258" t="n">
        <v>3</v>
      </c>
      <c r="J50" s="258" t="n">
        <v>3</v>
      </c>
      <c r="K50" s="258" t="n">
        <v>3</v>
      </c>
    </row>
    <row r="51" ht="26" customHeight="1">
      <c r="A51" s="81" t="inlineStr">
        <is>
          <t>Família</t>
        </is>
      </c>
      <c r="B51" s="49" t="inlineStr">
        <is>
          <t>Lavanderia + Dorm. Serviço</t>
        </is>
      </c>
      <c r="C51" s="4" t="n"/>
      <c r="D51" s="258" t="n">
        <v>3</v>
      </c>
      <c r="E51" s="258" t="n">
        <v>3</v>
      </c>
      <c r="F51" s="258" t="n">
        <v>3</v>
      </c>
      <c r="G51" s="258" t="n">
        <v>3</v>
      </c>
      <c r="H51" s="258" t="n">
        <v>3</v>
      </c>
      <c r="I51" s="258" t="n">
        <v>3</v>
      </c>
      <c r="J51" s="258" t="n">
        <v>3</v>
      </c>
      <c r="K51" s="258" t="n">
        <v>3</v>
      </c>
    </row>
    <row r="52">
      <c r="A52" s="35" t="inlineStr">
        <is>
          <t>TOTAL:</t>
        </is>
      </c>
      <c r="B52" s="82" t="inlineStr"/>
      <c r="C52" s="4" t="n"/>
      <c r="D52" s="82" t="inlineStr"/>
      <c r="E52" s="82" t="inlineStr"/>
      <c r="F52" s="82" t="inlineStr"/>
      <c r="G52" s="82" t="inlineStr"/>
      <c r="H52" s="82" t="inlineStr"/>
      <c r="I52" s="82" t="inlineStr"/>
      <c r="J52" s="82" t="inlineStr"/>
      <c r="K52" s="82" t="inlineStr"/>
      <c r="L52" s="83">
        <f>SUM(D43:K50)</f>
        <v/>
      </c>
      <c r="M52" s="84" t="n">
        <v>24</v>
      </c>
      <c r="N52" s="85">
        <f>IF(L51&gt;0,L51/M51,0)</f>
        <v/>
      </c>
    </row>
    <row r="53" ht="24" customHeight="1"/>
    <row r="54" ht="18" customHeight="1">
      <c r="A54" s="86" t="inlineStr">
        <is>
          <t>🟡 SAÚDE</t>
        </is>
      </c>
      <c r="B54" s="88" t="n"/>
      <c r="C54" s="87" t="n"/>
      <c r="D54" s="87" t="n"/>
      <c r="E54" s="87" t="n"/>
      <c r="F54" s="87" t="n"/>
      <c r="G54" s="87" t="n"/>
      <c r="H54" s="87" t="n"/>
      <c r="I54" s="87" t="n"/>
      <c r="J54" s="87" t="n"/>
      <c r="K54" s="87" t="n"/>
      <c r="L54" s="87" t="n"/>
      <c r="M54" s="87" t="n"/>
      <c r="N54" s="88" t="n"/>
    </row>
    <row r="55" ht="22" customHeight="1">
      <c r="A55" s="89" t="inlineStr">
        <is>
          <t>Cômodo(s):</t>
        </is>
      </c>
      <c r="B55" s="90" t="inlineStr">
        <is>
          <t>Corredor Central</t>
        </is>
      </c>
      <c r="C55" s="3" t="n"/>
      <c r="D55" s="3" t="n"/>
      <c r="E55" s="3" t="n"/>
      <c r="F55" s="3" t="n"/>
      <c r="G55" s="3" t="n"/>
      <c r="H55" s="3" t="n"/>
      <c r="I55" s="3" t="n"/>
      <c r="J55" s="3" t="n"/>
      <c r="K55" s="3" t="n"/>
      <c r="L55" s="3" t="n"/>
      <c r="M55" s="3" t="n"/>
      <c r="N55" s="4" t="n"/>
    </row>
    <row r="56" ht="22" customHeight="1">
      <c r="A56" s="89" t="inlineStr">
        <is>
          <t>Saúde</t>
        </is>
      </c>
      <c r="B56" s="91" t="inlineStr">
        <is>
          <t>Corredor Central</t>
        </is>
      </c>
      <c r="C56" s="92" t="inlineStr">
        <is>
          <t>Tem boa iluminação natural e artificial?</t>
        </is>
      </c>
      <c r="D56" s="258" t="n">
        <v>3</v>
      </c>
      <c r="E56" s="258" t="n">
        <v>3</v>
      </c>
      <c r="F56" s="258" t="n">
        <v>3</v>
      </c>
      <c r="G56" s="258" t="n">
        <v>3</v>
      </c>
      <c r="H56" s="258" t="n">
        <v>3</v>
      </c>
      <c r="I56" s="258" t="n">
        <v>3</v>
      </c>
      <c r="J56" s="258" t="n">
        <v>3</v>
      </c>
      <c r="K56" s="258" t="n">
        <v>3</v>
      </c>
    </row>
    <row r="57" ht="22" customHeight="1">
      <c r="A57" s="93" t="inlineStr">
        <is>
          <t>Saúde</t>
        </is>
      </c>
      <c r="B57" s="49" t="inlineStr">
        <is>
          <t>Corredor Central</t>
        </is>
      </c>
      <c r="C57" s="50" t="inlineStr">
        <is>
          <t>Planta viva e saudável presente?</t>
        </is>
      </c>
      <c r="D57" s="258" t="n">
        <v>3</v>
      </c>
      <c r="E57" s="258" t="n">
        <v>3</v>
      </c>
      <c r="F57" s="258" t="n">
        <v>3</v>
      </c>
      <c r="G57" s="258" t="n">
        <v>3</v>
      </c>
      <c r="H57" s="258" t="n">
        <v>3</v>
      </c>
      <c r="I57" s="258" t="n">
        <v>3</v>
      </c>
      <c r="J57" s="258" t="n">
        <v>3</v>
      </c>
      <c r="K57" s="258" t="n">
        <v>3</v>
      </c>
    </row>
    <row r="58" ht="22" customHeight="1">
      <c r="A58" s="89" t="inlineStr">
        <is>
          <t>Saúde</t>
        </is>
      </c>
      <c r="B58" s="91" t="inlineStr">
        <is>
          <t>Corredor Central</t>
        </is>
      </c>
      <c r="C58" s="92" t="inlineStr">
        <is>
          <t>Espaço organizado, sem acúmulo?</t>
        </is>
      </c>
      <c r="D58" s="258" t="n">
        <v>3</v>
      </c>
      <c r="E58" s="258" t="n">
        <v>3</v>
      </c>
      <c r="F58" s="258" t="n">
        <v>3</v>
      </c>
      <c r="G58" s="258" t="n">
        <v>3</v>
      </c>
      <c r="H58" s="258" t="n">
        <v>3</v>
      </c>
      <c r="I58" s="258" t="n">
        <v>3</v>
      </c>
      <c r="J58" s="258" t="n">
        <v>3</v>
      </c>
      <c r="K58" s="258" t="n">
        <v>3</v>
      </c>
    </row>
    <row r="59" ht="22" customHeight="1">
      <c r="A59" s="93" t="inlineStr">
        <is>
          <t>Saúde</t>
        </is>
      </c>
      <c r="B59" s="49" t="inlineStr">
        <is>
          <t>Corredor Central</t>
        </is>
      </c>
      <c r="C59" s="50" t="inlineStr">
        <is>
          <t>Chi circula livremente (sem bloqueios)?</t>
        </is>
      </c>
      <c r="D59" s="258" t="n">
        <v>3</v>
      </c>
      <c r="E59" s="258" t="n">
        <v>3</v>
      </c>
      <c r="F59" s="258" t="n">
        <v>3</v>
      </c>
      <c r="G59" s="258" t="n">
        <v>3</v>
      </c>
      <c r="H59" s="258" t="n">
        <v>3</v>
      </c>
      <c r="I59" s="258" t="n">
        <v>3</v>
      </c>
      <c r="J59" s="258" t="n">
        <v>3</v>
      </c>
      <c r="K59" s="258" t="n">
        <v>3</v>
      </c>
    </row>
    <row r="60" ht="22" customHeight="1">
      <c r="A60" s="89" t="inlineStr">
        <is>
          <t>Saúde</t>
        </is>
      </c>
      <c r="B60" s="91" t="inlineStr">
        <is>
          <t>Corredor Central</t>
        </is>
      </c>
      <c r="C60" s="92" t="inlineStr">
        <is>
          <t>Cor dominante compatível com o setor?</t>
        </is>
      </c>
      <c r="D60" s="258" t="n">
        <v>3</v>
      </c>
      <c r="E60" s="258" t="n">
        <v>3</v>
      </c>
      <c r="F60" s="258" t="n">
        <v>3</v>
      </c>
      <c r="G60" s="258" t="n">
        <v>3</v>
      </c>
      <c r="H60" s="258" t="n">
        <v>3</v>
      </c>
      <c r="I60" s="258" t="n">
        <v>3</v>
      </c>
      <c r="J60" s="258" t="n">
        <v>3</v>
      </c>
      <c r="K60" s="258" t="n">
        <v>3</v>
      </c>
    </row>
    <row r="61" ht="22" customHeight="1">
      <c r="A61" s="93" t="inlineStr">
        <is>
          <t>Saúde</t>
        </is>
      </c>
      <c r="B61" s="49" t="inlineStr">
        <is>
          <t>Corredor Central</t>
        </is>
      </c>
      <c r="C61" s="50" t="inlineStr">
        <is>
          <t>Espelhos posicionados corretamente?</t>
        </is>
      </c>
      <c r="D61" s="258" t="n">
        <v>3</v>
      </c>
      <c r="E61" s="258" t="n">
        <v>3</v>
      </c>
      <c r="F61" s="258" t="n">
        <v>3</v>
      </c>
      <c r="G61" s="258" t="n">
        <v>3</v>
      </c>
      <c r="H61" s="258" t="n">
        <v>3</v>
      </c>
      <c r="I61" s="258" t="n">
        <v>3</v>
      </c>
      <c r="J61" s="258" t="n">
        <v>3</v>
      </c>
      <c r="K61" s="258" t="n">
        <v>3</v>
      </c>
    </row>
    <row r="62" ht="22" customHeight="1">
      <c r="A62" s="89" t="inlineStr">
        <is>
          <t>Saúde</t>
        </is>
      </c>
      <c r="B62" s="91" t="inlineStr">
        <is>
          <t>Corredor Central</t>
        </is>
      </c>
      <c r="C62" s="92" t="inlineStr">
        <is>
          <t>Porta abre 100%? Janelas funcionam?</t>
        </is>
      </c>
      <c r="D62" s="258" t="n">
        <v>3</v>
      </c>
      <c r="E62" s="258" t="n">
        <v>3</v>
      </c>
      <c r="F62" s="258" t="n">
        <v>3</v>
      </c>
      <c r="G62" s="258" t="n">
        <v>3</v>
      </c>
      <c r="H62" s="258" t="n">
        <v>3</v>
      </c>
      <c r="I62" s="258" t="n">
        <v>3</v>
      </c>
      <c r="J62" s="258" t="n">
        <v>3</v>
      </c>
      <c r="K62" s="258" t="n">
        <v>3</v>
      </c>
    </row>
    <row r="63" ht="26" customHeight="1">
      <c r="A63" s="93" t="inlineStr">
        <is>
          <t>Saúde</t>
        </is>
      </c>
      <c r="B63" s="49" t="inlineStr">
        <is>
          <t>Corredor Central</t>
        </is>
      </c>
      <c r="C63" s="4" t="n"/>
      <c r="D63" s="258" t="n">
        <v>3</v>
      </c>
      <c r="E63" s="258" t="n">
        <v>3</v>
      </c>
      <c r="F63" s="258" t="n">
        <v>3</v>
      </c>
      <c r="G63" s="258" t="n">
        <v>3</v>
      </c>
      <c r="H63" s="258" t="n">
        <v>3</v>
      </c>
      <c r="I63" s="258" t="n">
        <v>3</v>
      </c>
      <c r="J63" s="258" t="n">
        <v>3</v>
      </c>
      <c r="K63" s="258" t="n">
        <v>3</v>
      </c>
    </row>
    <row r="64">
      <c r="A64" s="32" t="inlineStr">
        <is>
          <t>TOTAL:</t>
        </is>
      </c>
      <c r="B64" s="94" t="inlineStr"/>
      <c r="C64" s="4" t="n"/>
      <c r="D64" s="94" t="inlineStr"/>
      <c r="E64" s="94" t="inlineStr"/>
      <c r="F64" s="94" t="inlineStr"/>
      <c r="G64" s="94" t="inlineStr"/>
      <c r="H64" s="94" t="inlineStr"/>
      <c r="I64" s="94" t="inlineStr"/>
      <c r="J64" s="94" t="inlineStr"/>
      <c r="K64" s="94" t="inlineStr"/>
      <c r="L64" s="95">
        <f>SUM(D55:K62)</f>
        <v/>
      </c>
      <c r="M64" s="96" t="n">
        <v>24</v>
      </c>
      <c r="N64" s="97">
        <f>IF(L63&gt;0,L63/M63,0)</f>
        <v/>
      </c>
    </row>
    <row r="65" ht="24" customHeight="1"/>
    <row r="66" ht="18" customHeight="1">
      <c r="A66" s="98" t="inlineStr">
        <is>
          <t>⭕ CRIATIVIDADE</t>
        </is>
      </c>
      <c r="B66" s="100" t="n"/>
      <c r="C66" s="99" t="n"/>
      <c r="D66" s="99" t="n"/>
      <c r="E66" s="99" t="n"/>
      <c r="F66" s="99" t="n"/>
      <c r="G66" s="99" t="n"/>
      <c r="H66" s="99" t="n"/>
      <c r="I66" s="99" t="n"/>
      <c r="J66" s="99" t="n"/>
      <c r="K66" s="99" t="n"/>
      <c r="L66" s="99" t="n"/>
      <c r="M66" s="99" t="n"/>
      <c r="N66" s="100" t="n"/>
    </row>
    <row r="67" ht="22" customHeight="1">
      <c r="A67" s="101" t="inlineStr">
        <is>
          <t>Cômodo(s):</t>
        </is>
      </c>
      <c r="B67" s="102" t="inlineStr">
        <is>
          <t>Living + Sala Jantar + Terraço</t>
        </is>
      </c>
      <c r="C67" s="3" t="n"/>
      <c r="D67" s="3" t="n"/>
      <c r="E67" s="3" t="n"/>
      <c r="F67" s="3" t="n"/>
      <c r="G67" s="3" t="n"/>
      <c r="H67" s="3" t="n"/>
      <c r="I67" s="3" t="n"/>
      <c r="J67" s="3" t="n"/>
      <c r="K67" s="3" t="n"/>
      <c r="L67" s="3" t="n"/>
      <c r="M67" s="3" t="n"/>
      <c r="N67" s="4" t="n"/>
    </row>
    <row r="68" ht="22" customHeight="1">
      <c r="A68" s="101" t="inlineStr">
        <is>
          <t>Criatividade</t>
        </is>
      </c>
      <c r="B68" s="103" t="inlineStr">
        <is>
          <t>Living + Sala Jantar + Terraço</t>
        </is>
      </c>
      <c r="C68" s="104" t="inlineStr">
        <is>
          <t>Tem boa iluminação natural e artificial?</t>
        </is>
      </c>
      <c r="D68" s="258" t="n">
        <v>3</v>
      </c>
      <c r="E68" s="258" t="n">
        <v>3</v>
      </c>
      <c r="F68" s="258" t="n">
        <v>3</v>
      </c>
      <c r="G68" s="258" t="n">
        <v>3</v>
      </c>
      <c r="H68" s="258" t="n">
        <v>3</v>
      </c>
      <c r="I68" s="258" t="n">
        <v>3</v>
      </c>
      <c r="J68" s="258" t="n">
        <v>3</v>
      </c>
      <c r="K68" s="258" t="n">
        <v>3</v>
      </c>
    </row>
    <row r="69" ht="22" customHeight="1">
      <c r="A69" s="105" t="inlineStr">
        <is>
          <t>Criatividade</t>
        </is>
      </c>
      <c r="B69" s="49" t="inlineStr">
        <is>
          <t>Living + Sala Jantar + Terraço</t>
        </is>
      </c>
      <c r="C69" s="50" t="inlineStr">
        <is>
          <t>Planta viva e saudável presente?</t>
        </is>
      </c>
      <c r="D69" s="258" t="n">
        <v>3</v>
      </c>
      <c r="E69" s="258" t="n">
        <v>3</v>
      </c>
      <c r="F69" s="258" t="n">
        <v>3</v>
      </c>
      <c r="G69" s="258" t="n">
        <v>3</v>
      </c>
      <c r="H69" s="258" t="n">
        <v>3</v>
      </c>
      <c r="I69" s="258" t="n">
        <v>3</v>
      </c>
      <c r="J69" s="258" t="n">
        <v>3</v>
      </c>
      <c r="K69" s="258" t="n">
        <v>3</v>
      </c>
    </row>
    <row r="70" ht="22" customHeight="1">
      <c r="A70" s="101" t="inlineStr">
        <is>
          <t>Criatividade</t>
        </is>
      </c>
      <c r="B70" s="103" t="inlineStr">
        <is>
          <t>Living + Sala Jantar + Terraço</t>
        </is>
      </c>
      <c r="C70" s="104" t="inlineStr">
        <is>
          <t>Espaço organizado, sem acúmulo?</t>
        </is>
      </c>
      <c r="D70" s="258" t="n">
        <v>3</v>
      </c>
      <c r="E70" s="258" t="n">
        <v>3</v>
      </c>
      <c r="F70" s="258" t="n">
        <v>3</v>
      </c>
      <c r="G70" s="258" t="n">
        <v>3</v>
      </c>
      <c r="H70" s="258" t="n">
        <v>3</v>
      </c>
      <c r="I70" s="258" t="n">
        <v>3</v>
      </c>
      <c r="J70" s="258" t="n">
        <v>3</v>
      </c>
      <c r="K70" s="258" t="n">
        <v>3</v>
      </c>
    </row>
    <row r="71" ht="22" customHeight="1">
      <c r="A71" s="105" t="inlineStr">
        <is>
          <t>Criatividade</t>
        </is>
      </c>
      <c r="B71" s="49" t="inlineStr">
        <is>
          <t>Living + Sala Jantar + Terraço</t>
        </is>
      </c>
      <c r="C71" s="50" t="inlineStr">
        <is>
          <t>Chi circula livremente (sem bloqueios)?</t>
        </is>
      </c>
      <c r="D71" s="258" t="n">
        <v>3</v>
      </c>
      <c r="E71" s="258" t="n">
        <v>3</v>
      </c>
      <c r="F71" s="258" t="n">
        <v>3</v>
      </c>
      <c r="G71" s="258" t="n">
        <v>3</v>
      </c>
      <c r="H71" s="258" t="n">
        <v>3</v>
      </c>
      <c r="I71" s="258" t="n">
        <v>3</v>
      </c>
      <c r="J71" s="258" t="n">
        <v>3</v>
      </c>
      <c r="K71" s="258" t="n">
        <v>3</v>
      </c>
    </row>
    <row r="72" ht="22" customHeight="1">
      <c r="A72" s="101" t="inlineStr">
        <is>
          <t>Criatividade</t>
        </is>
      </c>
      <c r="B72" s="103" t="inlineStr">
        <is>
          <t>Living + Sala Jantar + Terraço</t>
        </is>
      </c>
      <c r="C72" s="104" t="inlineStr">
        <is>
          <t>Cor dominante compatível com o setor?</t>
        </is>
      </c>
      <c r="D72" s="258" t="n">
        <v>3</v>
      </c>
      <c r="E72" s="258" t="n">
        <v>3</v>
      </c>
      <c r="F72" s="258" t="n">
        <v>3</v>
      </c>
      <c r="G72" s="258" t="n">
        <v>3</v>
      </c>
      <c r="H72" s="258" t="n">
        <v>3</v>
      </c>
      <c r="I72" s="258" t="n">
        <v>3</v>
      </c>
      <c r="J72" s="258" t="n">
        <v>3</v>
      </c>
      <c r="K72" s="258" t="n">
        <v>3</v>
      </c>
    </row>
    <row r="73" ht="22" customHeight="1">
      <c r="A73" s="105" t="inlineStr">
        <is>
          <t>Criatividade</t>
        </is>
      </c>
      <c r="B73" s="49" t="inlineStr">
        <is>
          <t>Living + Sala Jantar + Terraço</t>
        </is>
      </c>
      <c r="C73" s="50" t="inlineStr">
        <is>
          <t>Espelhos posicionados corretamente?</t>
        </is>
      </c>
      <c r="D73" s="258" t="n">
        <v>3</v>
      </c>
      <c r="E73" s="258" t="n">
        <v>3</v>
      </c>
      <c r="F73" s="258" t="n">
        <v>3</v>
      </c>
      <c r="G73" s="258" t="n">
        <v>3</v>
      </c>
      <c r="H73" s="258" t="n">
        <v>3</v>
      </c>
      <c r="I73" s="258" t="n">
        <v>3</v>
      </c>
      <c r="J73" s="258" t="n">
        <v>3</v>
      </c>
      <c r="K73" s="258" t="n">
        <v>3</v>
      </c>
    </row>
    <row r="74" ht="22" customHeight="1">
      <c r="A74" s="101" t="inlineStr">
        <is>
          <t>Criatividade</t>
        </is>
      </c>
      <c r="B74" s="103" t="inlineStr">
        <is>
          <t>Living + Sala Jantar + Terraço</t>
        </is>
      </c>
      <c r="C74" s="104" t="inlineStr">
        <is>
          <t>Porta abre 100%? Janelas funcionam?</t>
        </is>
      </c>
      <c r="D74" s="258" t="n">
        <v>3</v>
      </c>
      <c r="E74" s="258" t="n">
        <v>3</v>
      </c>
      <c r="F74" s="258" t="n">
        <v>3</v>
      </c>
      <c r="G74" s="258" t="n">
        <v>3</v>
      </c>
      <c r="H74" s="258" t="n">
        <v>3</v>
      </c>
      <c r="I74" s="258" t="n">
        <v>3</v>
      </c>
      <c r="J74" s="258" t="n">
        <v>3</v>
      </c>
      <c r="K74" s="258" t="n">
        <v>3</v>
      </c>
    </row>
    <row r="75" ht="26" customHeight="1">
      <c r="A75" s="105" t="inlineStr">
        <is>
          <t>Criatividade</t>
        </is>
      </c>
      <c r="B75" s="49" t="inlineStr">
        <is>
          <t>Living + Sala Jantar + Terraço</t>
        </is>
      </c>
      <c r="C75" s="4" t="n"/>
      <c r="D75" s="258" t="n">
        <v>3</v>
      </c>
      <c r="E75" s="258" t="n">
        <v>3</v>
      </c>
      <c r="F75" s="258" t="n">
        <v>3</v>
      </c>
      <c r="G75" s="258" t="n">
        <v>3</v>
      </c>
      <c r="H75" s="258" t="n">
        <v>3</v>
      </c>
      <c r="I75" s="258" t="n">
        <v>3</v>
      </c>
      <c r="J75" s="258" t="n">
        <v>3</v>
      </c>
      <c r="K75" s="258" t="n">
        <v>3</v>
      </c>
    </row>
    <row r="76">
      <c r="A76" s="34" t="inlineStr">
        <is>
          <t>TOTAL:</t>
        </is>
      </c>
      <c r="B76" s="106" t="inlineStr"/>
      <c r="C76" s="4" t="n"/>
      <c r="D76" s="106" t="inlineStr"/>
      <c r="E76" s="106" t="inlineStr"/>
      <c r="F76" s="106" t="inlineStr"/>
      <c r="G76" s="106" t="inlineStr"/>
      <c r="H76" s="106" t="inlineStr"/>
      <c r="I76" s="106" t="inlineStr"/>
      <c r="J76" s="106" t="inlineStr"/>
      <c r="K76" s="106" t="inlineStr"/>
      <c r="L76" s="107">
        <f>SUM(D67:K74)</f>
        <v/>
      </c>
      <c r="M76" s="108" t="n">
        <v>24</v>
      </c>
      <c r="N76" s="109">
        <f>IF(L75&gt;0,L75/M75,0)</f>
        <v/>
      </c>
    </row>
    <row r="77" ht="24" customHeight="1"/>
    <row r="78" ht="18" customHeight="1">
      <c r="A78" s="110" t="inlineStr">
        <is>
          <t>📚 CONHECIMENTO</t>
        </is>
      </c>
      <c r="B78" s="112" t="n"/>
      <c r="C78" s="111" t="n"/>
      <c r="D78" s="111" t="n"/>
      <c r="E78" s="111" t="n"/>
      <c r="F78" s="111" t="n"/>
      <c r="G78" s="111" t="n"/>
      <c r="H78" s="111" t="n"/>
      <c r="I78" s="111" t="n"/>
      <c r="J78" s="111" t="n"/>
      <c r="K78" s="111" t="n"/>
      <c r="L78" s="111" t="n"/>
      <c r="M78" s="111" t="n"/>
      <c r="N78" s="112" t="n"/>
    </row>
    <row r="79" ht="22" customHeight="1">
      <c r="A79" s="113" t="inlineStr">
        <is>
          <t>Cômodo(s):</t>
        </is>
      </c>
      <c r="B79" s="114" t="inlineStr">
        <is>
          <t>Cozinha / Entrada Serviço</t>
        </is>
      </c>
      <c r="C79" s="3" t="n"/>
      <c r="D79" s="3" t="n"/>
      <c r="E79" s="3" t="n"/>
      <c r="F79" s="3" t="n"/>
      <c r="G79" s="3" t="n"/>
      <c r="H79" s="3" t="n"/>
      <c r="I79" s="3" t="n"/>
      <c r="J79" s="3" t="n"/>
      <c r="K79" s="3" t="n"/>
      <c r="L79" s="3" t="n"/>
      <c r="M79" s="3" t="n"/>
      <c r="N79" s="4" t="n"/>
    </row>
    <row r="80" ht="22" customHeight="1">
      <c r="A80" s="113" t="inlineStr">
        <is>
          <t>Conhecimento</t>
        </is>
      </c>
      <c r="B80" s="115" t="inlineStr">
        <is>
          <t>Cozinha / Entrada Serviço</t>
        </is>
      </c>
      <c r="C80" s="116" t="inlineStr">
        <is>
          <t>Tem boa iluminação natural e artificial?</t>
        </is>
      </c>
      <c r="D80" s="258" t="n">
        <v>3</v>
      </c>
      <c r="E80" s="258" t="n">
        <v>3</v>
      </c>
      <c r="F80" s="258" t="n">
        <v>3</v>
      </c>
      <c r="G80" s="258" t="n">
        <v>3</v>
      </c>
      <c r="H80" s="258" t="n">
        <v>3</v>
      </c>
      <c r="I80" s="258" t="n">
        <v>3</v>
      </c>
      <c r="J80" s="258" t="n">
        <v>3</v>
      </c>
      <c r="K80" s="258" t="n">
        <v>3</v>
      </c>
    </row>
    <row r="81" ht="22" customHeight="1">
      <c r="A81" s="117" t="inlineStr">
        <is>
          <t>Conhecimento</t>
        </is>
      </c>
      <c r="B81" s="49" t="inlineStr">
        <is>
          <t>Cozinha / Entrada Serviço</t>
        </is>
      </c>
      <c r="C81" s="50" t="inlineStr">
        <is>
          <t>Planta viva e saudável presente?</t>
        </is>
      </c>
      <c r="D81" s="258" t="n">
        <v>3</v>
      </c>
      <c r="E81" s="258" t="n">
        <v>3</v>
      </c>
      <c r="F81" s="258" t="n">
        <v>3</v>
      </c>
      <c r="G81" s="258" t="n">
        <v>3</v>
      </c>
      <c r="H81" s="258" t="n">
        <v>3</v>
      </c>
      <c r="I81" s="258" t="n">
        <v>3</v>
      </c>
      <c r="J81" s="258" t="n">
        <v>3</v>
      </c>
      <c r="K81" s="258" t="n">
        <v>3</v>
      </c>
    </row>
    <row r="82" ht="22" customHeight="1">
      <c r="A82" s="113" t="inlineStr">
        <is>
          <t>Conhecimento</t>
        </is>
      </c>
      <c r="B82" s="115" t="inlineStr">
        <is>
          <t>Cozinha / Entrada Serviço</t>
        </is>
      </c>
      <c r="C82" s="116" t="inlineStr">
        <is>
          <t>Espaço organizado, sem acúmulo?</t>
        </is>
      </c>
      <c r="D82" s="258" t="n">
        <v>3</v>
      </c>
      <c r="E82" s="258" t="n">
        <v>3</v>
      </c>
      <c r="F82" s="258" t="n">
        <v>3</v>
      </c>
      <c r="G82" s="258" t="n">
        <v>3</v>
      </c>
      <c r="H82" s="258" t="n">
        <v>3</v>
      </c>
      <c r="I82" s="258" t="n">
        <v>3</v>
      </c>
      <c r="J82" s="258" t="n">
        <v>3</v>
      </c>
      <c r="K82" s="258" t="n">
        <v>3</v>
      </c>
    </row>
    <row r="83" ht="22" customHeight="1">
      <c r="A83" s="117" t="inlineStr">
        <is>
          <t>Conhecimento</t>
        </is>
      </c>
      <c r="B83" s="49" t="inlineStr">
        <is>
          <t>Cozinha / Entrada Serviço</t>
        </is>
      </c>
      <c r="C83" s="50" t="inlineStr">
        <is>
          <t>Chi circula livremente (sem bloqueios)?</t>
        </is>
      </c>
      <c r="D83" s="258" t="n">
        <v>3</v>
      </c>
      <c r="E83" s="258" t="n">
        <v>3</v>
      </c>
      <c r="F83" s="258" t="n">
        <v>3</v>
      </c>
      <c r="G83" s="258" t="n">
        <v>3</v>
      </c>
      <c r="H83" s="258" t="n">
        <v>3</v>
      </c>
      <c r="I83" s="258" t="n">
        <v>3</v>
      </c>
      <c r="J83" s="258" t="n">
        <v>3</v>
      </c>
      <c r="K83" s="258" t="n">
        <v>3</v>
      </c>
    </row>
    <row r="84" ht="22" customHeight="1">
      <c r="A84" s="113" t="inlineStr">
        <is>
          <t>Conhecimento</t>
        </is>
      </c>
      <c r="B84" s="115" t="inlineStr">
        <is>
          <t>Cozinha / Entrada Serviço</t>
        </is>
      </c>
      <c r="C84" s="116" t="inlineStr">
        <is>
          <t>Cor dominante compatível com o setor?</t>
        </is>
      </c>
      <c r="D84" s="258" t="n">
        <v>3</v>
      </c>
      <c r="E84" s="258" t="n">
        <v>3</v>
      </c>
      <c r="F84" s="258" t="n">
        <v>3</v>
      </c>
      <c r="G84" s="258" t="n">
        <v>3</v>
      </c>
      <c r="H84" s="258" t="n">
        <v>3</v>
      </c>
      <c r="I84" s="258" t="n">
        <v>3</v>
      </c>
      <c r="J84" s="258" t="n">
        <v>3</v>
      </c>
      <c r="K84" s="258" t="n">
        <v>3</v>
      </c>
    </row>
    <row r="85" ht="22" customHeight="1">
      <c r="A85" s="117" t="inlineStr">
        <is>
          <t>Conhecimento</t>
        </is>
      </c>
      <c r="B85" s="49" t="inlineStr">
        <is>
          <t>Cozinha / Entrada Serviço</t>
        </is>
      </c>
      <c r="C85" s="50" t="inlineStr">
        <is>
          <t>Espelhos posicionados corretamente?</t>
        </is>
      </c>
      <c r="D85" s="258" t="n">
        <v>3</v>
      </c>
      <c r="E85" s="258" t="n">
        <v>3</v>
      </c>
      <c r="F85" s="258" t="n">
        <v>3</v>
      </c>
      <c r="G85" s="258" t="n">
        <v>3</v>
      </c>
      <c r="H85" s="258" t="n">
        <v>3</v>
      </c>
      <c r="I85" s="258" t="n">
        <v>3</v>
      </c>
      <c r="J85" s="258" t="n">
        <v>3</v>
      </c>
      <c r="K85" s="258" t="n">
        <v>3</v>
      </c>
    </row>
    <row r="86" ht="22" customHeight="1">
      <c r="A86" s="113" t="inlineStr">
        <is>
          <t>Conhecimento</t>
        </is>
      </c>
      <c r="B86" s="115" t="inlineStr">
        <is>
          <t>Cozinha / Entrada Serviço</t>
        </is>
      </c>
      <c r="C86" s="116" t="inlineStr">
        <is>
          <t>Porta abre 100%? Janelas funcionam?</t>
        </is>
      </c>
      <c r="D86" s="258" t="n">
        <v>3</v>
      </c>
      <c r="E86" s="258" t="n">
        <v>3</v>
      </c>
      <c r="F86" s="258" t="n">
        <v>3</v>
      </c>
      <c r="G86" s="258" t="n">
        <v>3</v>
      </c>
      <c r="H86" s="258" t="n">
        <v>3</v>
      </c>
      <c r="I86" s="258" t="n">
        <v>3</v>
      </c>
      <c r="J86" s="258" t="n">
        <v>3</v>
      </c>
      <c r="K86" s="258" t="n">
        <v>3</v>
      </c>
    </row>
    <row r="87" ht="26" customHeight="1">
      <c r="A87" s="117" t="inlineStr">
        <is>
          <t>Conhecimento</t>
        </is>
      </c>
      <c r="B87" s="49" t="inlineStr">
        <is>
          <t>Cozinha / Entrada Serviço</t>
        </is>
      </c>
      <c r="C87" s="4" t="n"/>
      <c r="D87" s="258" t="n">
        <v>3</v>
      </c>
      <c r="E87" s="258" t="n">
        <v>3</v>
      </c>
      <c r="F87" s="258" t="n">
        <v>3</v>
      </c>
      <c r="G87" s="258" t="n">
        <v>3</v>
      </c>
      <c r="H87" s="258" t="n">
        <v>3</v>
      </c>
      <c r="I87" s="258" t="n">
        <v>3</v>
      </c>
      <c r="J87" s="258" t="n">
        <v>3</v>
      </c>
      <c r="K87" s="258" t="n">
        <v>3</v>
      </c>
    </row>
    <row r="88">
      <c r="A88" s="37" t="inlineStr">
        <is>
          <t>TOTAL:</t>
        </is>
      </c>
      <c r="B88" s="118" t="inlineStr"/>
      <c r="C88" s="4" t="n"/>
      <c r="D88" s="118" t="inlineStr"/>
      <c r="E88" s="118" t="inlineStr"/>
      <c r="F88" s="118" t="inlineStr"/>
      <c r="G88" s="118" t="inlineStr"/>
      <c r="H88" s="118" t="inlineStr"/>
      <c r="I88" s="118" t="inlineStr"/>
      <c r="J88" s="118" t="inlineStr"/>
      <c r="K88" s="118" t="inlineStr"/>
      <c r="L88" s="119">
        <f>SUM(D79:K86)</f>
        <v/>
      </c>
      <c r="M88" s="120" t="n">
        <v>24</v>
      </c>
      <c r="N88" s="121">
        <f>IF(L87&gt;0,L87/M87,0)</f>
        <v/>
      </c>
    </row>
    <row r="89" ht="24" customHeight="1"/>
    <row r="90" ht="18" customHeight="1">
      <c r="A90" s="98" t="inlineStr">
        <is>
          <t>🔵 CARREIRA</t>
        </is>
      </c>
      <c r="B90" s="100" t="n"/>
      <c r="C90" s="99" t="n"/>
      <c r="D90" s="99" t="n"/>
      <c r="E90" s="99" t="n"/>
      <c r="F90" s="99" t="n"/>
      <c r="G90" s="99" t="n"/>
      <c r="H90" s="99" t="n"/>
      <c r="I90" s="99" t="n"/>
      <c r="J90" s="99" t="n"/>
      <c r="K90" s="99" t="n"/>
      <c r="L90" s="99" t="n"/>
      <c r="M90" s="99" t="n"/>
      <c r="N90" s="100" t="n"/>
    </row>
    <row r="91" ht="22" customHeight="1">
      <c r="A91" s="101" t="inlineStr">
        <is>
          <t>Cômodo(s):</t>
        </is>
      </c>
      <c r="B91" s="102" t="inlineStr">
        <is>
          <t>Hall de Entrada + Lavabo</t>
        </is>
      </c>
      <c r="C91" s="3" t="n"/>
      <c r="D91" s="3" t="n"/>
      <c r="E91" s="3" t="n"/>
      <c r="F91" s="3" t="n"/>
      <c r="G91" s="3" t="n"/>
      <c r="H91" s="3" t="n"/>
      <c r="I91" s="3" t="n"/>
      <c r="J91" s="3" t="n"/>
      <c r="K91" s="3" t="n"/>
      <c r="L91" s="3" t="n"/>
      <c r="M91" s="3" t="n"/>
      <c r="N91" s="4" t="n"/>
    </row>
    <row r="92" ht="22" customHeight="1">
      <c r="A92" s="101" t="inlineStr">
        <is>
          <t>Carreira</t>
        </is>
      </c>
      <c r="B92" s="103" t="inlineStr">
        <is>
          <t>Hall de Entrada + Lavabo</t>
        </is>
      </c>
      <c r="C92" s="104" t="inlineStr">
        <is>
          <t>Tem boa iluminação natural e artificial?</t>
        </is>
      </c>
      <c r="D92" s="258" t="n">
        <v>3</v>
      </c>
      <c r="E92" s="258" t="n">
        <v>3</v>
      </c>
      <c r="F92" s="258" t="n">
        <v>3</v>
      </c>
      <c r="G92" s="258" t="n">
        <v>3</v>
      </c>
      <c r="H92" s="258" t="n">
        <v>3</v>
      </c>
      <c r="I92" s="258" t="n">
        <v>3</v>
      </c>
      <c r="J92" s="258" t="n">
        <v>3</v>
      </c>
      <c r="K92" s="258" t="n">
        <v>3</v>
      </c>
    </row>
    <row r="93" ht="22" customHeight="1">
      <c r="A93" s="105" t="inlineStr">
        <is>
          <t>Carreira</t>
        </is>
      </c>
      <c r="B93" s="49" t="inlineStr">
        <is>
          <t>Hall de Entrada + Lavabo</t>
        </is>
      </c>
      <c r="C93" s="50" t="inlineStr">
        <is>
          <t>Planta viva e saudável presente?</t>
        </is>
      </c>
      <c r="D93" s="258" t="n">
        <v>3</v>
      </c>
      <c r="E93" s="258" t="n">
        <v>3</v>
      </c>
      <c r="F93" s="258" t="n">
        <v>3</v>
      </c>
      <c r="G93" s="258" t="n">
        <v>3</v>
      </c>
      <c r="H93" s="258" t="n">
        <v>3</v>
      </c>
      <c r="I93" s="258" t="n">
        <v>3</v>
      </c>
      <c r="J93" s="258" t="n">
        <v>3</v>
      </c>
      <c r="K93" s="258" t="n">
        <v>3</v>
      </c>
    </row>
    <row r="94" ht="22" customHeight="1">
      <c r="A94" s="101" t="inlineStr">
        <is>
          <t>Carreira</t>
        </is>
      </c>
      <c r="B94" s="103" t="inlineStr">
        <is>
          <t>Hall de Entrada + Lavabo</t>
        </is>
      </c>
      <c r="C94" s="104" t="inlineStr">
        <is>
          <t>Espaço organizado, sem acúmulo?</t>
        </is>
      </c>
      <c r="D94" s="258" t="n">
        <v>3</v>
      </c>
      <c r="E94" s="258" t="n">
        <v>3</v>
      </c>
      <c r="F94" s="258" t="n">
        <v>3</v>
      </c>
      <c r="G94" s="258" t="n">
        <v>3</v>
      </c>
      <c r="H94" s="258" t="n">
        <v>3</v>
      </c>
      <c r="I94" s="258" t="n">
        <v>3</v>
      </c>
      <c r="J94" s="258" t="n">
        <v>3</v>
      </c>
      <c r="K94" s="258" t="n">
        <v>3</v>
      </c>
    </row>
    <row r="95" ht="22" customHeight="1">
      <c r="A95" s="105" t="inlineStr">
        <is>
          <t>Carreira</t>
        </is>
      </c>
      <c r="B95" s="49" t="inlineStr">
        <is>
          <t>Hall de Entrada + Lavabo</t>
        </is>
      </c>
      <c r="C95" s="50" t="inlineStr">
        <is>
          <t>Chi circula livremente (sem bloqueios)?</t>
        </is>
      </c>
      <c r="D95" s="258" t="n">
        <v>3</v>
      </c>
      <c r="E95" s="258" t="n">
        <v>3</v>
      </c>
      <c r="F95" s="258" t="n">
        <v>3</v>
      </c>
      <c r="G95" s="258" t="n">
        <v>3</v>
      </c>
      <c r="H95" s="258" t="n">
        <v>3</v>
      </c>
      <c r="I95" s="258" t="n">
        <v>3</v>
      </c>
      <c r="J95" s="258" t="n">
        <v>3</v>
      </c>
      <c r="K95" s="258" t="n">
        <v>3</v>
      </c>
    </row>
    <row r="96" ht="22" customHeight="1">
      <c r="A96" s="101" t="inlineStr">
        <is>
          <t>Carreira</t>
        </is>
      </c>
      <c r="B96" s="103" t="inlineStr">
        <is>
          <t>Hall de Entrada + Lavabo</t>
        </is>
      </c>
      <c r="C96" s="104" t="inlineStr">
        <is>
          <t>Cor dominante compatível com o setor?</t>
        </is>
      </c>
      <c r="D96" s="258" t="n">
        <v>3</v>
      </c>
      <c r="E96" s="258" t="n">
        <v>3</v>
      </c>
      <c r="F96" s="258" t="n">
        <v>3</v>
      </c>
      <c r="G96" s="258" t="n">
        <v>3</v>
      </c>
      <c r="H96" s="258" t="n">
        <v>3</v>
      </c>
      <c r="I96" s="258" t="n">
        <v>3</v>
      </c>
      <c r="J96" s="258" t="n">
        <v>3</v>
      </c>
      <c r="K96" s="258" t="n">
        <v>3</v>
      </c>
    </row>
    <row r="97" ht="22" customHeight="1">
      <c r="A97" s="105" t="inlineStr">
        <is>
          <t>Carreira</t>
        </is>
      </c>
      <c r="B97" s="49" t="inlineStr">
        <is>
          <t>Hall de Entrada + Lavabo</t>
        </is>
      </c>
      <c r="C97" s="50" t="inlineStr">
        <is>
          <t>Espelhos posicionados corretamente?</t>
        </is>
      </c>
      <c r="D97" s="258" t="n">
        <v>3</v>
      </c>
      <c r="E97" s="258" t="n">
        <v>3</v>
      </c>
      <c r="F97" s="258" t="n">
        <v>3</v>
      </c>
      <c r="G97" s="258" t="n">
        <v>3</v>
      </c>
      <c r="H97" s="258" t="n">
        <v>3</v>
      </c>
      <c r="I97" s="258" t="n">
        <v>3</v>
      </c>
      <c r="J97" s="258" t="n">
        <v>3</v>
      </c>
      <c r="K97" s="258" t="n">
        <v>3</v>
      </c>
    </row>
    <row r="98" ht="22" customHeight="1">
      <c r="A98" s="101" t="inlineStr">
        <is>
          <t>Carreira</t>
        </is>
      </c>
      <c r="B98" s="103" t="inlineStr">
        <is>
          <t>Hall de Entrada + Lavabo</t>
        </is>
      </c>
      <c r="C98" s="104" t="inlineStr">
        <is>
          <t>Porta abre 100%? Janelas funcionam?</t>
        </is>
      </c>
      <c r="D98" s="258" t="n">
        <v>3</v>
      </c>
      <c r="E98" s="258" t="n">
        <v>3</v>
      </c>
      <c r="F98" s="258" t="n">
        <v>3</v>
      </c>
      <c r="G98" s="258" t="n">
        <v>3</v>
      </c>
      <c r="H98" s="258" t="n">
        <v>3</v>
      </c>
      <c r="I98" s="258" t="n">
        <v>3</v>
      </c>
      <c r="J98" s="258" t="n">
        <v>3</v>
      </c>
      <c r="K98" s="258" t="n">
        <v>3</v>
      </c>
    </row>
    <row r="99" ht="26" customHeight="1">
      <c r="A99" s="105" t="inlineStr">
        <is>
          <t>Carreira</t>
        </is>
      </c>
      <c r="B99" s="49" t="inlineStr">
        <is>
          <t>Hall de Entrada + Lavabo</t>
        </is>
      </c>
      <c r="C99" s="4" t="n"/>
      <c r="D99" s="258" t="n">
        <v>3</v>
      </c>
      <c r="E99" s="258" t="n">
        <v>3</v>
      </c>
      <c r="F99" s="258" t="n">
        <v>3</v>
      </c>
      <c r="G99" s="258" t="n">
        <v>3</v>
      </c>
      <c r="H99" s="258" t="n">
        <v>3</v>
      </c>
      <c r="I99" s="258" t="n">
        <v>3</v>
      </c>
      <c r="J99" s="258" t="n">
        <v>3</v>
      </c>
      <c r="K99" s="258" t="n">
        <v>3</v>
      </c>
    </row>
    <row r="100">
      <c r="A100" s="34" t="inlineStr">
        <is>
          <t>TOTAL:</t>
        </is>
      </c>
      <c r="B100" s="106" t="inlineStr"/>
      <c r="C100" s="4" t="n"/>
      <c r="D100" s="106" t="inlineStr"/>
      <c r="E100" s="106" t="inlineStr"/>
      <c r="F100" s="106" t="inlineStr"/>
      <c r="G100" s="106" t="inlineStr"/>
      <c r="H100" s="106" t="inlineStr"/>
      <c r="I100" s="106" t="inlineStr"/>
      <c r="J100" s="106" t="inlineStr"/>
      <c r="K100" s="106" t="inlineStr"/>
      <c r="L100" s="107">
        <f>SUM(D91:K98)</f>
        <v/>
      </c>
      <c r="M100" s="108" t="n">
        <v>24</v>
      </c>
      <c r="N100" s="109">
        <f>IF(L99&gt;0,L99/M99,0)</f>
        <v/>
      </c>
    </row>
    <row r="101" ht="24" customHeight="1"/>
    <row r="102" ht="18" customHeight="1">
      <c r="A102" s="122" t="inlineStr">
        <is>
          <t>🤝 AJUDANTES</t>
        </is>
      </c>
      <c r="B102" s="124" t="n"/>
      <c r="C102" s="123" t="n"/>
      <c r="D102" s="123" t="n"/>
      <c r="E102" s="123" t="n"/>
      <c r="F102" s="123" t="n"/>
      <c r="G102" s="123" t="n"/>
      <c r="H102" s="123" t="n"/>
      <c r="I102" s="123" t="n"/>
      <c r="J102" s="123" t="n"/>
      <c r="K102" s="123" t="n"/>
      <c r="L102" s="123" t="n"/>
      <c r="M102" s="123" t="n"/>
      <c r="N102" s="124" t="n"/>
    </row>
    <row r="103" ht="22" customHeight="1">
      <c r="A103" s="125" t="inlineStr">
        <is>
          <t>Cômodo(s):</t>
        </is>
      </c>
      <c r="B103" s="126" t="inlineStr">
        <is>
          <t>Área de Acesso / Garagem</t>
        </is>
      </c>
      <c r="C103" s="3" t="n"/>
      <c r="D103" s="3" t="n"/>
      <c r="E103" s="3" t="n"/>
      <c r="F103" s="3" t="n"/>
      <c r="G103" s="3" t="n"/>
      <c r="H103" s="3" t="n"/>
      <c r="I103" s="3" t="n"/>
      <c r="J103" s="3" t="n"/>
      <c r="K103" s="3" t="n"/>
      <c r="L103" s="3" t="n"/>
      <c r="M103" s="3" t="n"/>
      <c r="N103" s="4" t="n"/>
    </row>
    <row r="104" ht="22" customHeight="1">
      <c r="A104" s="125" t="inlineStr">
        <is>
          <t>Ajudantes</t>
        </is>
      </c>
      <c r="B104" s="127" t="inlineStr">
        <is>
          <t>Área de Acesso / Garagem</t>
        </is>
      </c>
      <c r="C104" s="128" t="inlineStr">
        <is>
          <t>Tem boa iluminação natural e artificial?</t>
        </is>
      </c>
      <c r="D104" s="258" t="n">
        <v>3</v>
      </c>
      <c r="E104" s="258" t="n">
        <v>3</v>
      </c>
      <c r="F104" s="258" t="n">
        <v>3</v>
      </c>
      <c r="G104" s="258" t="n">
        <v>3</v>
      </c>
      <c r="H104" s="258" t="n">
        <v>3</v>
      </c>
      <c r="I104" s="258" t="n">
        <v>3</v>
      </c>
      <c r="J104" s="258" t="n">
        <v>3</v>
      </c>
      <c r="K104" s="258" t="n">
        <v>3</v>
      </c>
    </row>
    <row r="105" ht="22" customHeight="1">
      <c r="A105" s="129" t="inlineStr">
        <is>
          <t>Ajudantes</t>
        </is>
      </c>
      <c r="B105" s="49" t="inlineStr">
        <is>
          <t>Área de Acesso / Garagem</t>
        </is>
      </c>
      <c r="C105" s="50" t="inlineStr">
        <is>
          <t>Planta viva e saudável presente?</t>
        </is>
      </c>
      <c r="D105" s="258" t="n">
        <v>3</v>
      </c>
      <c r="E105" s="258" t="n">
        <v>3</v>
      </c>
      <c r="F105" s="258" t="n">
        <v>3</v>
      </c>
      <c r="G105" s="258" t="n">
        <v>3</v>
      </c>
      <c r="H105" s="258" t="n">
        <v>3</v>
      </c>
      <c r="I105" s="258" t="n">
        <v>3</v>
      </c>
      <c r="J105" s="258" t="n">
        <v>3</v>
      </c>
      <c r="K105" s="258" t="n">
        <v>3</v>
      </c>
    </row>
    <row r="106" ht="22" customHeight="1">
      <c r="A106" s="125" t="inlineStr">
        <is>
          <t>Ajudantes</t>
        </is>
      </c>
      <c r="B106" s="127" t="inlineStr">
        <is>
          <t>Área de Acesso / Garagem</t>
        </is>
      </c>
      <c r="C106" s="128" t="inlineStr">
        <is>
          <t>Espaço organizado, sem acúmulo?</t>
        </is>
      </c>
      <c r="D106" s="258" t="n">
        <v>3</v>
      </c>
      <c r="E106" s="258" t="n">
        <v>3</v>
      </c>
      <c r="F106" s="258" t="n">
        <v>3</v>
      </c>
      <c r="G106" s="258" t="n">
        <v>3</v>
      </c>
      <c r="H106" s="258" t="n">
        <v>3</v>
      </c>
      <c r="I106" s="258" t="n">
        <v>3</v>
      </c>
      <c r="J106" s="258" t="n">
        <v>3</v>
      </c>
      <c r="K106" s="258" t="n">
        <v>3</v>
      </c>
    </row>
    <row r="107" ht="22" customHeight="1">
      <c r="A107" s="129" t="inlineStr">
        <is>
          <t>Ajudantes</t>
        </is>
      </c>
      <c r="B107" s="49" t="inlineStr">
        <is>
          <t>Área de Acesso / Garagem</t>
        </is>
      </c>
      <c r="C107" s="50" t="inlineStr">
        <is>
          <t>Chi circula livremente (sem bloqueios)?</t>
        </is>
      </c>
      <c r="D107" s="258" t="n">
        <v>3</v>
      </c>
      <c r="E107" s="258" t="n">
        <v>3</v>
      </c>
      <c r="F107" s="258" t="n">
        <v>3</v>
      </c>
      <c r="G107" s="258" t="n">
        <v>3</v>
      </c>
      <c r="H107" s="258" t="n">
        <v>3</v>
      </c>
      <c r="I107" s="258" t="n">
        <v>3</v>
      </c>
      <c r="J107" s="258" t="n">
        <v>3</v>
      </c>
      <c r="K107" s="258" t="n">
        <v>3</v>
      </c>
    </row>
    <row r="108" ht="22" customHeight="1">
      <c r="A108" s="125" t="inlineStr">
        <is>
          <t>Ajudantes</t>
        </is>
      </c>
      <c r="B108" s="127" t="inlineStr">
        <is>
          <t>Área de Acesso / Garagem</t>
        </is>
      </c>
      <c r="C108" s="128" t="inlineStr">
        <is>
          <t>Cor dominante compatível com o setor?</t>
        </is>
      </c>
      <c r="D108" s="258" t="n">
        <v>3</v>
      </c>
      <c r="E108" s="258" t="n">
        <v>3</v>
      </c>
      <c r="F108" s="258" t="n">
        <v>3</v>
      </c>
      <c r="G108" s="258" t="n">
        <v>3</v>
      </c>
      <c r="H108" s="258" t="n">
        <v>3</v>
      </c>
      <c r="I108" s="258" t="n">
        <v>3</v>
      </c>
      <c r="J108" s="258" t="n">
        <v>3</v>
      </c>
      <c r="K108" s="258" t="n">
        <v>3</v>
      </c>
    </row>
    <row r="109" ht="22" customHeight="1">
      <c r="A109" s="129" t="inlineStr">
        <is>
          <t>Ajudantes</t>
        </is>
      </c>
      <c r="B109" s="49" t="inlineStr">
        <is>
          <t>Área de Acesso / Garagem</t>
        </is>
      </c>
      <c r="C109" s="50" t="inlineStr">
        <is>
          <t>Espelhos posicionados corretamente?</t>
        </is>
      </c>
      <c r="D109" s="258" t="n">
        <v>3</v>
      </c>
      <c r="E109" s="258" t="n">
        <v>3</v>
      </c>
      <c r="F109" s="258" t="n">
        <v>3</v>
      </c>
      <c r="G109" s="258" t="n">
        <v>3</v>
      </c>
      <c r="H109" s="258" t="n">
        <v>3</v>
      </c>
      <c r="I109" s="258" t="n">
        <v>3</v>
      </c>
      <c r="J109" s="258" t="n">
        <v>3</v>
      </c>
      <c r="K109" s="258" t="n">
        <v>3</v>
      </c>
    </row>
    <row r="110" ht="22" customHeight="1">
      <c r="A110" s="125" t="inlineStr">
        <is>
          <t>Ajudantes</t>
        </is>
      </c>
      <c r="B110" s="127" t="inlineStr">
        <is>
          <t>Área de Acesso / Garagem</t>
        </is>
      </c>
      <c r="C110" s="128" t="inlineStr">
        <is>
          <t>Porta abre 100%? Janelas funcionam?</t>
        </is>
      </c>
      <c r="D110" s="258" t="n">
        <v>3</v>
      </c>
      <c r="E110" s="258" t="n">
        <v>3</v>
      </c>
      <c r="F110" s="258" t="n">
        <v>3</v>
      </c>
      <c r="G110" s="258" t="n">
        <v>3</v>
      </c>
      <c r="H110" s="258" t="n">
        <v>3</v>
      </c>
      <c r="I110" s="258" t="n">
        <v>3</v>
      </c>
      <c r="J110" s="258" t="n">
        <v>3</v>
      </c>
      <c r="K110" s="258" t="n">
        <v>3</v>
      </c>
    </row>
    <row r="111" ht="26" customHeight="1">
      <c r="A111" s="129" t="inlineStr">
        <is>
          <t>Ajudantes</t>
        </is>
      </c>
      <c r="B111" s="49" t="inlineStr">
        <is>
          <t>Área de Acesso / Garagem</t>
        </is>
      </c>
      <c r="C111" s="4" t="n"/>
      <c r="D111" s="258" t="n">
        <v>3</v>
      </c>
      <c r="E111" s="258" t="n">
        <v>3</v>
      </c>
      <c r="F111" s="258" t="n">
        <v>3</v>
      </c>
      <c r="G111" s="258" t="n">
        <v>3</v>
      </c>
      <c r="H111" s="258" t="n">
        <v>3</v>
      </c>
      <c r="I111" s="258" t="n">
        <v>3</v>
      </c>
      <c r="J111" s="258" t="n">
        <v>3</v>
      </c>
      <c r="K111" s="258" t="n">
        <v>3</v>
      </c>
    </row>
    <row r="112">
      <c r="A112" s="38" t="inlineStr">
        <is>
          <t>TOTAL:</t>
        </is>
      </c>
      <c r="B112" s="130" t="inlineStr"/>
      <c r="C112" s="4" t="n"/>
      <c r="D112" s="130" t="inlineStr"/>
      <c r="E112" s="130" t="inlineStr"/>
      <c r="F112" s="130" t="inlineStr"/>
      <c r="G112" s="130" t="inlineStr"/>
      <c r="H112" s="130" t="inlineStr"/>
      <c r="I112" s="130" t="inlineStr"/>
      <c r="J112" s="130" t="inlineStr"/>
      <c r="K112" s="130" t="inlineStr"/>
      <c r="L112" s="131">
        <f>SUM(D103:K110)</f>
        <v/>
      </c>
      <c r="M112" s="132" t="n">
        <v>24</v>
      </c>
      <c r="N112" s="133">
        <f>IF(L111&gt;0,L111/M111,0)</f>
        <v/>
      </c>
    </row>
  </sheetData>
  <mergeCells count="30">
    <mergeCell ref="A77:N77"/>
    <mergeCell ref="B30:N30"/>
    <mergeCell ref="B27:C27"/>
    <mergeCell ref="A3:L3"/>
    <mergeCell ref="B6:N6"/>
    <mergeCell ref="B39:C39"/>
    <mergeCell ref="B111:C111"/>
    <mergeCell ref="A1:L2"/>
    <mergeCell ref="A65:N65"/>
    <mergeCell ref="A41:N41"/>
    <mergeCell ref="B54:N54"/>
    <mergeCell ref="A89:N89"/>
    <mergeCell ref="A4:L4"/>
    <mergeCell ref="B90:N90"/>
    <mergeCell ref="B87:C87"/>
    <mergeCell ref="B66:N66"/>
    <mergeCell ref="B102:N102"/>
    <mergeCell ref="A101:N101"/>
    <mergeCell ref="B18:N18"/>
    <mergeCell ref="B99:C99"/>
    <mergeCell ref="A5:N5"/>
    <mergeCell ref="B42:N42"/>
    <mergeCell ref="A17:N17"/>
    <mergeCell ref="B15:C15"/>
    <mergeCell ref="A53:N53"/>
    <mergeCell ref="B51:C51"/>
    <mergeCell ref="A29:N29"/>
    <mergeCell ref="B78:N78"/>
    <mergeCell ref="B63:C63"/>
    <mergeCell ref="B75:C75"/>
  </mergeCells>
  <dataValidations count="1">
    <dataValidation sqref="D7 D8 D9 D10 D11 D12 D13 D14 D19 D20 D21 D22 D23 D24 D25 D26 D31 D32 D33 D34 D35 D36 D37 D38 D43 D44 D45 D46 D47 D48 D49 D50 D55 D56 D57 D58 D59 D60 D61 D62 D67 D68 D69 D70 D71 D72 D73 D74 D79 D80 D81 D82 D83 D84 D85 D86 D91 D92 D93 D94 D95 D96 D97 D98 D103 D104 D105 D106 D107 D108 D109 D110 E7 E8 E9 E10 E11 E12 E13 E14 E19 E20 E21 E22 E23 E24 E25 E26 E31 E32 E33 E34 E35 E36 E37 E38 E43 E44 E45 E46 E47 E48 E49 E50 E55 E56 E57 E58 E59 E60 E61 E62 E67 E68 E69 E70 E71 E72 E73 E74 E79 E80 E81 E82 E83 E84 E85 E86 E91 E92 E93 E94 E95 E96 E97 E98 E103 E104 E105 E106 E107 E108 E109 E110 F7 F8 F9 F10 F11 F12 F13 F14 F19 F20 F21 F22 F23 F24 F25 F26 F31 F32 F33 F34 F35 F36 F37 F38 F43 F44 F45 F46 F47 F48 F49 F50 F55 F56 F57 F58 F59 F60 F61 F62 F67 F68 F69 F70 F71 F72 F73 F74 F79 F80 F81 F82 F83 F84 F85 F86 F91 F92 F93 F94 F95 F96 F97 F98 F103 F104 F105 F106 F107 F108 F109 F110 G7 G8 G9 G10 G11 G12 G13 G14 G19 G20 G21 G22 G23 G24 G25 G26 G31 G32 G33 G34 G35 G36 G37 G38 G43 G44 G45 G46 G47 G48 G49 G50 G55 G56 G57 G58 G59 G60 G61 G62 G67 G68 G69 G70 G71 G72 G73 G74 G79 G80 G81 G82 G83 G84 G85 G86 G91 G92 G93 G94 G95 G96 G97 G98 G103 G104 G105 G106 G107 G108 G109 G110 H7 H8 H9 H10 H11 H12 H13 H14 H19 H20 H21 H22 H23 H24 H25 H26 H31 H32 H33 H34 H35 H36 H37 H38 H43 H44 H45 H46 H47 H48 H49 H50 H55 H56 H57 H58 H59 H60 H61 H62 H67 H68 H69 H70 H71 H72 H73 H74 H79 H80 H81 H82 H83 H84 H85 H86 H91 H92 H93 H94 H95 H96 H97 H98 H103 H104 H105 H106 H107 H108 H109 H110 I7 I8 I9 I10 I11 I12 I13 I14 I19 I20 I21 I22 I23 I24 I25 I26 I31 I32 I33 I34 I35 I36 I37 I38 I43 I44 I45 I46 I47 I48 I49 I50 I55 I56 I57 I58 I59 I60 I61 I62 I67 I68 I69 I70 I71 I72 I73 I74 I79 I80 I81 I82 I83 I84 I85 I86 I91 I92 I93 I94 I95 I96 I97 I98 I103 I104 I105 I106 I107 I108 I109 I110 J7 J8 J9 J10 J11 J12 J13 J14 J19 J20 J21 J22 J23 J24 J25 J26 J31 J32 J33 J34 J35 J36 J37 J38 J43 J44 J45 J46 J47 J48 J49 J50 J55 J56 J57 J58 J59 J60 J61 J62 J67 J68 J69 J70 J71 J72 J73 J74 J79 J80 J81 J82 J83 J84 J85 J86 J91 J92 J93 J94 J95 J96 J97 J98 J103 J104 J105 J106 J107 J108 J109 J110 K7 K8 K9 K10 K11 K12 K13 K14 K19 K20 K21 K22 K23 K24 K25 K26 K31 K32 K33 K34 K35 K36 K37 K38 K43 K44 K45 K46 K47 K48 K49 K50 K55 K56 K57 K58 K59 K60 K61 K62 K67 K68 K69 K70 K71 K72 K73 K74 K79 K80 K81 K82 K83 K84 K85 K86 K91 K92 K93 K94 K95 K96 K97 K98 K103 K104 K105 K106 K107 K108 K109 K110" showDropDown="0" showInputMessage="1" showErrorMessage="1" allowBlank="0" errorTitle="Valor Inválido" error="Use apenas: 0 (Crítico), 1 (Ruim), 2 (Parcial), 3 (Bom)" promptTitle="Score Energético" prompt="0=Crítico | 1=Ruim | 2=Parcial | 3=Bom" type="list">
      <formula1>"0,1,2,3"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26" customWidth="1" min="1" max="1"/>
    <col width="20" customWidth="1" min="2" max="2"/>
    <col width="20" customWidth="1" min="3" max="3"/>
    <col width="10" customWidth="1" min="4" max="4"/>
    <col width="8" customWidth="1" min="5" max="5"/>
    <col width="12" customWidth="1" min="6" max="6"/>
    <col width="20" customWidth="1" min="7" max="7"/>
    <col width="18" customWidth="1" min="8" max="8"/>
  </cols>
  <sheetData>
    <row r="1" ht="30" customHeight="1">
      <c r="A1" s="21" t="inlineStr">
        <is>
          <t>📊  SCORE ENERGÉTICO — Semáforo Automático</t>
        </is>
      </c>
    </row>
    <row r="2"/>
    <row r="3" ht="24" customHeight="1">
      <c r="A3" s="22" t="inlineStr">
        <is>
          <t>🚦 LEGENDA</t>
        </is>
      </c>
      <c r="B3" s="23" t="n"/>
      <c r="C3" s="23" t="n"/>
      <c r="D3" s="23" t="n"/>
      <c r="E3" s="23" t="n"/>
      <c r="F3" s="23" t="n"/>
      <c r="G3" s="23" t="n"/>
      <c r="H3" s="24" t="n"/>
    </row>
    <row r="4" ht="20" customHeight="1">
      <c r="A4" s="134" t="inlineStr">
        <is>
          <t>🟢 80–100%</t>
        </is>
      </c>
      <c r="B4" s="135" t="inlineStr">
        <is>
          <t>EXCELENTE — Manutenção apenas</t>
        </is>
      </c>
      <c r="C4" s="3" t="n"/>
      <c r="D4" s="3" t="n"/>
      <c r="E4" s="3" t="n"/>
      <c r="F4" s="3" t="n"/>
      <c r="G4" s="3" t="n"/>
      <c r="H4" s="4" t="n"/>
    </row>
    <row r="5" ht="20" customHeight="1">
      <c r="A5" s="136" t="inlineStr">
        <is>
          <t>🟡 60–79%</t>
        </is>
      </c>
      <c r="B5" s="137" t="inlineStr">
        <is>
          <t>BOM — Melhorias pontuais</t>
        </is>
      </c>
      <c r="C5" s="3" t="n"/>
      <c r="D5" s="3" t="n"/>
      <c r="E5" s="3" t="n"/>
      <c r="F5" s="3" t="n"/>
      <c r="G5" s="3" t="n"/>
      <c r="H5" s="4" t="n"/>
    </row>
    <row r="6" ht="20" customHeight="1">
      <c r="A6" s="138" t="inlineStr">
        <is>
          <t>🟠 40–59%</t>
        </is>
      </c>
      <c r="B6" s="139" t="inlineStr">
        <is>
          <t>ATENÇÃO — Intervenção necessária</t>
        </is>
      </c>
      <c r="C6" s="3" t="n"/>
      <c r="D6" s="3" t="n"/>
      <c r="E6" s="3" t="n"/>
      <c r="F6" s="3" t="n"/>
      <c r="G6" s="3" t="n"/>
      <c r="H6" s="4" t="n"/>
    </row>
    <row r="7" ht="20" customHeight="1">
      <c r="A7" s="337" t="inlineStr">
        <is>
          <t>🔴 0–39%</t>
        </is>
      </c>
      <c r="B7" s="141" t="inlineStr">
        <is>
          <t>CRÍTICO — Prioridade máxima</t>
        </is>
      </c>
      <c r="C7" s="3" t="n"/>
      <c r="D7" s="3" t="n"/>
      <c r="E7" s="3" t="n"/>
      <c r="F7" s="3" t="n"/>
      <c r="G7" s="3" t="n"/>
      <c r="H7" s="4" t="n"/>
    </row>
    <row r="9" ht="24" customHeight="1">
      <c r="A9" s="22" t="inlineStr">
        <is>
          <t>📈 SCORES — ALIMENTADOS AUTOMATICAMENTE DO DIAGNÓSTICO</t>
        </is>
      </c>
      <c r="B9" s="23" t="n"/>
      <c r="C9" s="23" t="n"/>
      <c r="D9" s="23" t="n"/>
      <c r="E9" s="23" t="n"/>
      <c r="F9" s="23" t="n"/>
      <c r="G9" s="23" t="n"/>
      <c r="H9" s="24" t="n"/>
    </row>
    <row r="10" ht="22" customHeight="1">
      <c r="A10" s="142" t="inlineStr">
        <is>
          <t>Setor</t>
        </is>
      </c>
      <c r="B10" s="142" t="inlineStr">
        <is>
          <t>Elemento</t>
        </is>
      </c>
      <c r="C10" s="142" t="inlineStr">
        <is>
          <t>Cor Ideal</t>
        </is>
      </c>
      <c r="D10" s="142" t="inlineStr">
        <is>
          <t>Score</t>
        </is>
      </c>
      <c r="E10" s="142" t="inlineStr">
        <is>
          <t>Máx</t>
        </is>
      </c>
      <c r="F10" s="142" t="inlineStr">
        <is>
          <t>% Saúde</t>
        </is>
      </c>
      <c r="G10" s="142" t="inlineStr">
        <is>
          <t>Status 🚦</t>
        </is>
      </c>
      <c r="H10" s="142" t="inlineStr">
        <is>
          <t>Prioridade</t>
        </is>
      </c>
    </row>
    <row r="11" ht="24" customHeight="1">
      <c r="A11" s="143" t="inlineStr">
        <is>
          <t>🔴 Prosperidade</t>
        </is>
      </c>
      <c r="B11" s="28" t="inlineStr">
        <is>
          <t>Madeira + Metal</t>
        </is>
      </c>
      <c r="C11" s="28" t="inlineStr">
        <is>
          <t>Roxo / Dourado</t>
        </is>
      </c>
      <c r="D11" s="144">
        <f>'🔍 Diagnóstico'!L15</f>
        <v/>
      </c>
      <c r="E11" s="145">
        <f>'🔍 Diagnóstico'!M15</f>
        <v/>
      </c>
      <c r="F11" s="146">
        <f>IF(E11&gt;0,D11/E11,0)</f>
        <v/>
      </c>
      <c r="G11" s="31">
        <f>IF(F11&gt;=0.8,"🟢 Excelente",IF(F11&gt;=0.6,"🟡 Bom",IF(F11&gt;=0.4,"🟠 Atenção","🔴 Crítico")))</f>
        <v/>
      </c>
      <c r="H11" s="31">
        <f>IF(F11&lt;0.4,"1️⃣ URGENTE",IF(F11&lt;0.6,"2️⃣ ALTA",IF(F11&lt;0.8,"3️⃣ MÉDIA","4️⃣ BAIXA")))</f>
        <v/>
      </c>
    </row>
    <row r="12" ht="24" customHeight="1">
      <c r="A12" s="147" t="inlineStr">
        <is>
          <t>🔥 Fama</t>
        </is>
      </c>
      <c r="B12" s="148" t="inlineStr">
        <is>
          <t>Fogo</t>
        </is>
      </c>
      <c r="C12" s="148" t="inlineStr">
        <is>
          <t>Vermelho / Coral</t>
        </is>
      </c>
      <c r="D12" s="144">
        <f>'🔍 Diagnóstico'!L27</f>
        <v/>
      </c>
      <c r="E12" s="145">
        <f>'🔍 Diagnóstico'!M27</f>
        <v/>
      </c>
      <c r="F12" s="146">
        <f>IF(E12&gt;0,D12/E12,0)</f>
        <v/>
      </c>
      <c r="G12" s="31">
        <f>IF(F12&gt;=0.8,"🟢 Excelente",IF(F12&gt;=0.6,"🟡 Bom",IF(F12&gt;=0.4,"🟠 Atenção","🔴 Crítico")))</f>
        <v/>
      </c>
      <c r="H12" s="31">
        <f>IF(F12&lt;0.4,"1️⃣ URGENTE",IF(F12&lt;0.6,"2️⃣ ALTA",IF(F12&lt;0.8,"3️⃣ MÉDIA","4️⃣ BAIXA")))</f>
        <v/>
      </c>
    </row>
    <row r="13" ht="24" customHeight="1">
      <c r="A13" s="143" t="inlineStr">
        <is>
          <t>💜 Relacionamentos</t>
        </is>
      </c>
      <c r="B13" s="28" t="inlineStr">
        <is>
          <t>Terra</t>
        </is>
      </c>
      <c r="C13" s="28" t="inlineStr">
        <is>
          <t>Rosa / Terracota</t>
        </is>
      </c>
      <c r="D13" s="144">
        <f>'🔍 Diagnóstico'!L39</f>
        <v/>
      </c>
      <c r="E13" s="145">
        <f>'🔍 Diagnóstico'!M39</f>
        <v/>
      </c>
      <c r="F13" s="146">
        <f>IF(E13&gt;0,D13/E13,0)</f>
        <v/>
      </c>
      <c r="G13" s="31">
        <f>IF(F13&gt;=0.8,"🟢 Excelente",IF(F13&gt;=0.6,"🟡 Bom",IF(F13&gt;=0.4,"🟠 Atenção","🔴 Crítico")))</f>
        <v/>
      </c>
      <c r="H13" s="31">
        <f>IF(F13&lt;0.4,"1️⃣ URGENTE",IF(F13&lt;0.6,"2️⃣ ALTA",IF(F13&lt;0.8,"3️⃣ MÉDIA","4️⃣ BAIXA")))</f>
        <v/>
      </c>
    </row>
    <row r="14" ht="24" customHeight="1">
      <c r="A14" s="149" t="inlineStr">
        <is>
          <t>🌿 Família</t>
        </is>
      </c>
      <c r="B14" s="150" t="inlineStr">
        <is>
          <t>Madeira</t>
        </is>
      </c>
      <c r="C14" s="150" t="inlineStr">
        <is>
          <t>Verde</t>
        </is>
      </c>
      <c r="D14" s="144">
        <f>'🔍 Diagnóstico'!L51</f>
        <v/>
      </c>
      <c r="E14" s="145">
        <f>'🔍 Diagnóstico'!M51</f>
        <v/>
      </c>
      <c r="F14" s="146">
        <f>IF(E14&gt;0,D14/E14,0)</f>
        <v/>
      </c>
      <c r="G14" s="31">
        <f>IF(F14&gt;=0.8,"🟢 Excelente",IF(F14&gt;=0.6,"🟡 Bom",IF(F14&gt;=0.4,"🟠 Atenção","🔴 Crítico")))</f>
        <v/>
      </c>
      <c r="H14" s="31">
        <f>IF(F14&lt;0.4,"1️⃣ URGENTE",IF(F14&lt;0.6,"2️⃣ ALTA",IF(F14&lt;0.8,"3️⃣ MÉDIA","4️⃣ BAIXA")))</f>
        <v/>
      </c>
    </row>
    <row r="15" ht="24" customHeight="1">
      <c r="A15" s="151" t="inlineStr">
        <is>
          <t>🟡 Saúde</t>
        </is>
      </c>
      <c r="B15" s="152" t="inlineStr">
        <is>
          <t>Terra</t>
        </is>
      </c>
      <c r="C15" s="152" t="inlineStr">
        <is>
          <t>Amarelo / Bege</t>
        </is>
      </c>
      <c r="D15" s="144">
        <f>'🔍 Diagnóstico'!L63</f>
        <v/>
      </c>
      <c r="E15" s="145">
        <f>'🔍 Diagnóstico'!M63</f>
        <v/>
      </c>
      <c r="F15" s="146">
        <f>IF(E15&gt;0,D15/E15,0)</f>
        <v/>
      </c>
      <c r="G15" s="31">
        <f>IF(F15&gt;=0.8,"🟢 Excelente",IF(F15&gt;=0.6,"🟡 Bom",IF(F15&gt;=0.4,"🟠 Atenção","🔴 Crítico")))</f>
        <v/>
      </c>
      <c r="H15" s="31">
        <f>IF(F15&lt;0.4,"1️⃣ URGENTE",IF(F15&lt;0.6,"2️⃣ ALTA",IF(F15&lt;0.8,"3️⃣ MÉDIA","4️⃣ BAIXA")))</f>
        <v/>
      </c>
    </row>
    <row r="16" ht="24" customHeight="1">
      <c r="A16" s="153" t="inlineStr">
        <is>
          <t>⭕ Criatividade</t>
        </is>
      </c>
      <c r="B16" s="154" t="inlineStr">
        <is>
          <t>Metal</t>
        </is>
      </c>
      <c r="C16" s="154" t="inlineStr">
        <is>
          <t>Branco / Dourado</t>
        </is>
      </c>
      <c r="D16" s="144">
        <f>'🔍 Diagnóstico'!L75</f>
        <v/>
      </c>
      <c r="E16" s="145">
        <f>'🔍 Diagnóstico'!M75</f>
        <v/>
      </c>
      <c r="F16" s="146">
        <f>IF(E16&gt;0,D16/E16,0)</f>
        <v/>
      </c>
      <c r="G16" s="31">
        <f>IF(F16&gt;=0.8,"🟢 Excelente",IF(F16&gt;=0.6,"🟡 Bom",IF(F16&gt;=0.4,"🟠 Atenção","🔴 Crítico")))</f>
        <v/>
      </c>
      <c r="H16" s="31">
        <f>IF(F16&lt;0.4,"1️⃣ URGENTE",IF(F16&lt;0.6,"2️⃣ ALTA",IF(F16&lt;0.8,"3️⃣ MÉDIA","4️⃣ BAIXA")))</f>
        <v/>
      </c>
    </row>
    <row r="17" ht="24" customHeight="1">
      <c r="A17" s="155" t="inlineStr">
        <is>
          <t>📚 Conhecimento</t>
        </is>
      </c>
      <c r="B17" s="118" t="inlineStr">
        <is>
          <t>Terra + Água</t>
        </is>
      </c>
      <c r="C17" s="118" t="inlineStr">
        <is>
          <t>Azul-verde escuro</t>
        </is>
      </c>
      <c r="D17" s="144">
        <f>'🔍 Diagnóstico'!L87</f>
        <v/>
      </c>
      <c r="E17" s="145">
        <f>'🔍 Diagnóstico'!M87</f>
        <v/>
      </c>
      <c r="F17" s="146">
        <f>IF(E17&gt;0,D17/E17,0)</f>
        <v/>
      </c>
      <c r="G17" s="31">
        <f>IF(F17&gt;=0.8,"🟢 Excelente",IF(F17&gt;=0.6,"🟡 Bom",IF(F17&gt;=0.4,"🟠 Atenção","🔴 Crítico")))</f>
        <v/>
      </c>
      <c r="H17" s="31">
        <f>IF(F17&lt;0.4,"1️⃣ URGENTE",IF(F17&lt;0.6,"2️⃣ ALTA",IF(F17&lt;0.8,"3️⃣ MÉDIA","4️⃣ BAIXA")))</f>
        <v/>
      </c>
    </row>
    <row r="18" ht="24" customHeight="1">
      <c r="A18" s="153" t="inlineStr">
        <is>
          <t>🔵 Carreira</t>
        </is>
      </c>
      <c r="B18" s="154" t="inlineStr">
        <is>
          <t>Água</t>
        </is>
      </c>
      <c r="C18" s="154" t="inlineStr">
        <is>
          <t>Azul-escuro</t>
        </is>
      </c>
      <c r="D18" s="144">
        <f>'🔍 Diagnóstico'!L99</f>
        <v/>
      </c>
      <c r="E18" s="145">
        <f>'🔍 Diagnóstico'!M99</f>
        <v/>
      </c>
      <c r="F18" s="146">
        <f>IF(E18&gt;0,D18/E18,0)</f>
        <v/>
      </c>
      <c r="G18" s="31">
        <f>IF(F18&gt;=0.8,"🟢 Excelente",IF(F18&gt;=0.6,"🟡 Bom",IF(F18&gt;=0.4,"🟠 Atenção","🔴 Crítico")))</f>
        <v/>
      </c>
      <c r="H18" s="31">
        <f>IF(F18&lt;0.4,"1️⃣ URGENTE",IF(F18&lt;0.6,"2️⃣ ALTA",IF(F18&lt;0.8,"3️⃣ MÉDIA","4️⃣ BAIXA")))</f>
        <v/>
      </c>
    </row>
    <row r="19" ht="24" customHeight="1">
      <c r="A19" s="156" t="inlineStr">
        <is>
          <t>🤝 Ajudantes</t>
        </is>
      </c>
      <c r="B19" s="157" t="inlineStr">
        <is>
          <t>Metal + Água</t>
        </is>
      </c>
      <c r="C19" s="157" t="inlineStr">
        <is>
          <t>Cinza / Dourado</t>
        </is>
      </c>
      <c r="D19" s="144">
        <f>'🔍 Diagnóstico'!L111</f>
        <v/>
      </c>
      <c r="E19" s="145">
        <f>'🔍 Diagnóstico'!M111</f>
        <v/>
      </c>
      <c r="F19" s="146">
        <f>IF(E19&gt;0,D19/E19,0)</f>
        <v/>
      </c>
      <c r="G19" s="31">
        <f>IF(F19&gt;=0.8,"🟢 Excelente",IF(F19&gt;=0.6,"🟡 Bom",IF(F19&gt;=0.4,"🟠 Atenção","🔴 Crítico")))</f>
        <v/>
      </c>
      <c r="H19" s="31">
        <f>IF(F19&lt;0.4,"1️⃣ URGENTE",IF(F19&lt;0.6,"2️⃣ ALTA",IF(F19&lt;0.8,"3️⃣ MÉDIA","4️⃣ BAIXA")))</f>
        <v/>
      </c>
    </row>
  </sheetData>
  <mergeCells count="7">
    <mergeCell ref="A9:H9"/>
    <mergeCell ref="A3:H3"/>
    <mergeCell ref="B4:H4"/>
    <mergeCell ref="B6:H6"/>
    <mergeCell ref="B7:H7"/>
    <mergeCell ref="A1:H2"/>
    <mergeCell ref="B5:H5"/>
  </mergeCells>
  <conditionalFormatting sqref="F11:F19">
    <cfRule type="colorScale" priority="1">
      <colorScale>
        <cfvo type="num" val="0"/>
        <cfvo type="num" val="0.6"/>
        <cfvo type="num" val="1"/>
        <color rgb="00FF0000"/>
        <color rgb="00FFFF00"/>
        <color rgb="0000B050"/>
      </colorScale>
    </cfRule>
    <cfRule type="cellIs" priority="2" operator="lessThan" dxfId="0">
      <formula>0.4</formula>
    </cfRule>
    <cfRule type="cellIs" priority="3" operator="between" dxfId="1">
      <formula>0.4</formula>
      <formula>0.599</formula>
    </cfRule>
    <cfRule type="cellIs" priority="4" operator="between" dxfId="2">
      <formula>0.6</formula>
      <formula>0.799</formula>
    </cfRule>
    <cfRule type="cellIs" priority="5" operator="greaterThanOrEqual" dxfId="3">
      <formula>0.8</formula>
    </cfRule>
  </conditionalFormatting>
  <conditionalFormatting sqref="G11:G19">
    <cfRule type="expression" priority="6" dxfId="0">
      <formula>ISNUMBER(SEARCH("Crítico",G11))</formula>
    </cfRule>
    <cfRule type="expression" priority="7" dxfId="1">
      <formula>ISNUMBER(SEARCH("Atenção",G11))</formula>
    </cfRule>
    <cfRule type="expression" priority="8" dxfId="2">
      <formula>ISNUMBER(SEARCH("Bom",G11))</formula>
    </cfRule>
    <cfRule type="expression" priority="9" dxfId="3">
      <formula>ISNUMBER(SEARCH("Excelente",G11))</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24" customWidth="1" min="1" max="1"/>
    <col width="14" customWidth="1" min="2" max="2"/>
    <col width="18" customWidth="1" min="3" max="3"/>
    <col width="2" customWidth="1" min="4" max="4"/>
    <col width="15" customWidth="1" min="5" max="5"/>
    <col width="15" customWidth="1" min="6" max="6"/>
  </cols>
  <sheetData>
    <row r="1" ht="30" customHeight="1">
      <c r="A1" s="21" t="inlineStr">
        <is>
          <t>🕸️  MAPA RADAR ENERGÉTICO — Visão Geral dos 9 Setores</t>
        </is>
      </c>
    </row>
    <row r="2"/>
    <row r="3" ht="22" customHeight="1">
      <c r="A3" s="39" t="inlineStr">
        <is>
          <t>Gráfico atualiza automaticamente conforme o Diagnóstico é preenchido.</t>
        </is>
      </c>
      <c r="B3" s="3" t="n"/>
      <c r="C3" s="3" t="n"/>
      <c r="D3" s="3" t="n"/>
      <c r="E3" s="3" t="n"/>
      <c r="F3" s="4" t="n"/>
    </row>
    <row r="5" ht="24" customHeight="1">
      <c r="A5" s="22" t="inlineStr">
        <is>
          <t>DADOS DO RADAR — Atualizados Automaticamente</t>
        </is>
      </c>
      <c r="B5" s="23" t="n"/>
      <c r="C5" s="23" t="n"/>
      <c r="D5" s="24" t="n"/>
    </row>
    <row r="6" ht="22" customHeight="1">
      <c r="A6" s="142" t="inlineStr">
        <is>
          <t>Setor</t>
        </is>
      </c>
      <c r="B6" s="142" t="inlineStr">
        <is>
          <t>% Saúde</t>
        </is>
      </c>
      <c r="C6" s="142" t="inlineStr">
        <is>
          <t>Status</t>
        </is>
      </c>
    </row>
    <row r="7" ht="22" customHeight="1">
      <c r="A7" s="143" t="inlineStr">
        <is>
          <t>🔴 Prosperidade</t>
        </is>
      </c>
      <c r="B7" s="146">
        <f>'📊 Score Energético'!F11</f>
        <v/>
      </c>
      <c r="C7" s="31">
        <f>'📊 Score Energético'!G11</f>
        <v/>
      </c>
    </row>
    <row r="8" ht="22" customHeight="1">
      <c r="A8" s="147" t="inlineStr">
        <is>
          <t>🔥 Fama</t>
        </is>
      </c>
      <c r="B8" s="146">
        <f>'📊 Score Energético'!F12</f>
        <v/>
      </c>
      <c r="C8" s="31">
        <f>'📊 Score Energético'!G12</f>
        <v/>
      </c>
    </row>
    <row r="9" ht="22" customHeight="1">
      <c r="A9" s="143" t="inlineStr">
        <is>
          <t>💜 Relacionamentos</t>
        </is>
      </c>
      <c r="B9" s="146">
        <f>'📊 Score Energético'!F13</f>
        <v/>
      </c>
      <c r="C9" s="31">
        <f>'📊 Score Energético'!G13</f>
        <v/>
      </c>
    </row>
    <row r="10" ht="22" customHeight="1">
      <c r="A10" s="149" t="inlineStr">
        <is>
          <t>🌿 Família</t>
        </is>
      </c>
      <c r="B10" s="146">
        <f>'📊 Score Energético'!F14</f>
        <v/>
      </c>
      <c r="C10" s="31">
        <f>'📊 Score Energético'!G14</f>
        <v/>
      </c>
    </row>
    <row r="11" ht="22" customHeight="1">
      <c r="A11" s="151" t="inlineStr">
        <is>
          <t>🟡 Saúde</t>
        </is>
      </c>
      <c r="B11" s="146">
        <f>'📊 Score Energético'!F15</f>
        <v/>
      </c>
      <c r="C11" s="31">
        <f>'📊 Score Energético'!G15</f>
        <v/>
      </c>
    </row>
    <row r="12" ht="22" customHeight="1">
      <c r="A12" s="153" t="inlineStr">
        <is>
          <t>⭕ Criatividade</t>
        </is>
      </c>
      <c r="B12" s="146">
        <f>'📊 Score Energético'!F16</f>
        <v/>
      </c>
      <c r="C12" s="31">
        <f>'📊 Score Energético'!G16</f>
        <v/>
      </c>
    </row>
    <row r="13" ht="22" customHeight="1">
      <c r="A13" s="155" t="inlineStr">
        <is>
          <t>📚 Conhecimento</t>
        </is>
      </c>
      <c r="B13" s="146">
        <f>'📊 Score Energético'!F17</f>
        <v/>
      </c>
      <c r="C13" s="31">
        <f>'📊 Score Energético'!G17</f>
        <v/>
      </c>
    </row>
    <row r="14" ht="22" customHeight="1">
      <c r="A14" s="153" t="inlineStr">
        <is>
          <t>🔵 Carreira</t>
        </is>
      </c>
      <c r="B14" s="146">
        <f>'📊 Score Energético'!F18</f>
        <v/>
      </c>
      <c r="C14" s="31">
        <f>'📊 Score Energético'!G18</f>
        <v/>
      </c>
    </row>
    <row r="15" ht="22" customHeight="1">
      <c r="A15" s="156" t="inlineStr">
        <is>
          <t>🤝 Ajudantes</t>
        </is>
      </c>
      <c r="B15" s="146">
        <f>'📊 Score Energético'!F19</f>
        <v/>
      </c>
      <c r="C15" s="31">
        <f>'📊 Score Energético'!G19</f>
        <v/>
      </c>
    </row>
  </sheetData>
  <mergeCells count="3">
    <mergeCell ref="A3:F3"/>
    <mergeCell ref="A5:D5"/>
    <mergeCell ref="A1:F2"/>
  </mergeCells>
  <conditionalFormatting sqref="B7:B15">
    <cfRule type="colorScale" priority="1">
      <colorScale>
        <cfvo type="num" val="0"/>
        <cfvo type="num" val="0.6"/>
        <cfvo type="num" val="1"/>
        <color rgb="00FF0000"/>
        <color rgb="00FFFF00"/>
        <color rgb="0000B050"/>
      </colorScale>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M27"/>
  <sheetViews>
    <sheetView showGridLines="0" workbookViewId="0">
      <selection activeCell="A1" sqref="A1"/>
    </sheetView>
  </sheetViews>
  <sheetFormatPr baseColWidth="8" defaultRowHeight="15"/>
  <cols>
    <col width="8" customWidth="1" min="1" max="1"/>
    <col width="18" customWidth="1" min="2" max="2"/>
    <col width="12" customWidth="1" min="3" max="3"/>
    <col width="12" customWidth="1" min="4" max="4"/>
    <col width="18" customWidth="1" min="5" max="5"/>
    <col width="14" customWidth="1" min="6" max="6"/>
    <col width="18" customWidth="1" min="7" max="7"/>
    <col width="12" customWidth="1" min="8" max="8"/>
    <col width="12" customWidth="1" min="9" max="9"/>
    <col width="12" customWidth="1" min="10" max="10"/>
    <col hidden="1" width="13" customWidth="1" min="12" max="12"/>
    <col hidden="1" width="13" customWidth="1" min="13" max="13"/>
    <col hidden="1" width="13" customWidth="1" min="14" max="14"/>
  </cols>
  <sheetData>
    <row r="1" ht="30" customHeight="1">
      <c r="A1" s="21" t="inlineStr">
        <is>
          <t>💊  PRESCRIÇÕES — Auto-priorizadas pelo Score do Diagnóstico</t>
        </is>
      </c>
    </row>
    <row r="2" ht="14" customHeight="1">
      <c r="L2" t="inlineStr">
        <is>
          <t>[AUXILIAR — NÃO EDITAR]</t>
        </is>
      </c>
    </row>
    <row r="3" ht="22" customHeight="1">
      <c r="A3" s="158" t="inlineStr">
        <is>
          <t>✅ As prescrições são ordenadas automaticamente do setor mais crítico para o menos crítico.</t>
        </is>
      </c>
      <c r="B3" s="3" t="n"/>
      <c r="C3" s="3" t="n"/>
      <c r="D3" s="3" t="n"/>
      <c r="E3" s="3" t="n"/>
      <c r="F3" s="3" t="n"/>
      <c r="G3" s="3" t="n"/>
      <c r="H3" s="3" t="n"/>
      <c r="I3" s="3" t="n"/>
      <c r="J3" s="4" t="n"/>
      <c r="L3" t="inlineStr">
        <is>
          <t>Prosperidade</t>
        </is>
      </c>
      <c r="M3" s="159">
        <f>'📊 Score Energético'!F11</f>
        <v/>
      </c>
    </row>
    <row r="4">
      <c r="L4" t="inlineStr">
        <is>
          <t>Fama</t>
        </is>
      </c>
      <c r="M4" s="159">
        <f>'📊 Score Energético'!F12</f>
        <v/>
      </c>
    </row>
    <row r="5" ht="24" customHeight="1">
      <c r="A5" s="22" t="inlineStr">
        <is>
          <t>PLANO DE ATIVAÇÕES — ORDEM DE PRIORIDADE AUTOMÁTICA</t>
        </is>
      </c>
      <c r="B5" s="23" t="n"/>
      <c r="C5" s="23" t="n"/>
      <c r="D5" s="23" t="n"/>
      <c r="E5" s="23" t="n"/>
      <c r="F5" s="23" t="n"/>
      <c r="G5" s="23" t="n"/>
      <c r="H5" s="23" t="n"/>
      <c r="I5" s="23" t="n"/>
      <c r="J5" s="24" t="n"/>
      <c r="L5" t="inlineStr">
        <is>
          <t>Relacionamentos</t>
        </is>
      </c>
      <c r="M5" s="159">
        <f>'📊 Score Energético'!F13</f>
        <v/>
      </c>
    </row>
    <row r="6" ht="32" customHeight="1">
      <c r="A6" s="40" t="inlineStr">
        <is>
          <t>Prior.</t>
        </is>
      </c>
      <c r="B6" s="40" t="inlineStr">
        <is>
          <t>Setor</t>
        </is>
      </c>
      <c r="C6" s="40" t="inlineStr">
        <is>
          <t>% Saúde</t>
        </is>
      </c>
      <c r="D6" s="40" t="inlineStr">
        <is>
          <t>Problema Identificado</t>
        </is>
      </c>
      <c r="E6" s="40" t="inlineStr">
        <is>
          <t>Objeto / Ativação</t>
        </is>
      </c>
      <c r="F6" s="40" t="inlineStr">
        <is>
          <t>Mantra dos Três Segredos</t>
        </is>
      </c>
      <c r="G6" s="29" t="n"/>
      <c r="H6" s="40" t="inlineStr">
        <is>
          <t>Visualização</t>
        </is>
      </c>
      <c r="I6" s="40" t="inlineStr">
        <is>
          <t>Fase Lunar</t>
        </is>
      </c>
      <c r="J6" s="40" t="inlineStr">
        <is>
          <t>Concluído?</t>
        </is>
      </c>
      <c r="L6" t="inlineStr">
        <is>
          <t>Família</t>
        </is>
      </c>
      <c r="M6" s="159">
        <f>'📊 Score Energético'!F14</f>
        <v/>
      </c>
    </row>
    <row r="7" ht="55" customHeight="1">
      <c r="A7" s="160" t="inlineStr">
        <is>
          <t>#1</t>
        </is>
      </c>
      <c r="B7" s="337">
        <f>IFERROR(INDEX(L3:L11,MATCH(SMALL(M3:M11,1),M3:M11,0)),"—")</f>
        <v/>
      </c>
      <c r="C7" s="161">
        <f>IFERROR(SMALL(M3:M11,1),"")</f>
        <v/>
      </c>
      <c r="D7" s="264" t="inlineStr">
        <is>
          <t>← preencher conforme setor</t>
        </is>
      </c>
      <c r="E7" s="264" t="inlineStr">
        <is>
          <t>← preencher conforme setor</t>
        </is>
      </c>
      <c r="F7" s="264" t="inlineStr">
        <is>
          <t>← preencher conforme setor</t>
        </is>
      </c>
      <c r="G7" s="254" t="n"/>
      <c r="H7" s="264" t="inlineStr">
        <is>
          <t>← preencher conforme setor</t>
        </is>
      </c>
      <c r="I7" s="264" t="inlineStr">
        <is>
          <t>← preencher conforme setor</t>
        </is>
      </c>
      <c r="J7" s="264" t="inlineStr">
        <is>
          <t>← preencher conforme setor</t>
        </is>
      </c>
      <c r="L7" t="inlineStr">
        <is>
          <t>Saúde</t>
        </is>
      </c>
      <c r="M7" s="159">
        <f>'📊 Score Energético'!F15</f>
        <v/>
      </c>
    </row>
    <row r="8" ht="55" customHeight="1">
      <c r="A8" s="160" t="inlineStr">
        <is>
          <t>#2</t>
        </is>
      </c>
      <c r="B8" s="337">
        <f>IFERROR(INDEX(L3:L11,MATCH(SMALL(M3:M11,2),M3:M11,0)),"—")</f>
        <v/>
      </c>
      <c r="C8" s="161">
        <f>IFERROR(SMALL(M3:M11,2),"")</f>
        <v/>
      </c>
      <c r="D8" s="264" t="inlineStr">
        <is>
          <t>← preencher conforme setor</t>
        </is>
      </c>
      <c r="E8" s="264" t="inlineStr">
        <is>
          <t>← preencher conforme setor</t>
        </is>
      </c>
      <c r="F8" s="264" t="inlineStr">
        <is>
          <t>← preencher conforme setor</t>
        </is>
      </c>
      <c r="G8" s="254" t="n"/>
      <c r="H8" s="264" t="inlineStr">
        <is>
          <t>← preencher conforme setor</t>
        </is>
      </c>
      <c r="I8" s="264" t="inlineStr">
        <is>
          <t>← preencher conforme setor</t>
        </is>
      </c>
      <c r="J8" s="264" t="inlineStr">
        <is>
          <t>← preencher conforme setor</t>
        </is>
      </c>
      <c r="L8" t="inlineStr">
        <is>
          <t>Criatividade</t>
        </is>
      </c>
      <c r="M8" s="159">
        <f>'📊 Score Energético'!F16</f>
        <v/>
      </c>
    </row>
    <row r="9" ht="55" customHeight="1">
      <c r="A9" s="160" t="inlineStr">
        <is>
          <t>#3</t>
        </is>
      </c>
      <c r="B9" s="337">
        <f>IFERROR(INDEX(L3:L11,MATCH(SMALL(M3:M11,3),M3:M11,0)),"—")</f>
        <v/>
      </c>
      <c r="C9" s="161">
        <f>IFERROR(SMALL(M3:M11,3),"")</f>
        <v/>
      </c>
      <c r="D9" s="264" t="inlineStr">
        <is>
          <t>← preencher conforme setor</t>
        </is>
      </c>
      <c r="E9" s="264" t="inlineStr">
        <is>
          <t>← preencher conforme setor</t>
        </is>
      </c>
      <c r="F9" s="264" t="inlineStr">
        <is>
          <t>← preencher conforme setor</t>
        </is>
      </c>
      <c r="G9" s="254" t="n"/>
      <c r="H9" s="264" t="inlineStr">
        <is>
          <t>← preencher conforme setor</t>
        </is>
      </c>
      <c r="I9" s="264" t="inlineStr">
        <is>
          <t>← preencher conforme setor</t>
        </is>
      </c>
      <c r="J9" s="264" t="inlineStr">
        <is>
          <t>← preencher conforme setor</t>
        </is>
      </c>
      <c r="L9" t="inlineStr">
        <is>
          <t>Conhecimento</t>
        </is>
      </c>
      <c r="M9" s="159">
        <f>'📊 Score Energético'!F17</f>
        <v/>
      </c>
    </row>
    <row r="10" ht="55" customHeight="1">
      <c r="A10" s="163" t="inlineStr">
        <is>
          <t>#4</t>
        </is>
      </c>
      <c r="B10" s="138">
        <f>IFERROR(INDEX(L3:L11,MATCH(SMALL(M3:M11,4),M3:M11,0)),"—")</f>
        <v/>
      </c>
      <c r="C10" s="164">
        <f>IFERROR(SMALL(M3:M11,4),"")</f>
        <v/>
      </c>
      <c r="D10" s="264" t="inlineStr">
        <is>
          <t>← preencher conforme setor</t>
        </is>
      </c>
      <c r="E10" s="264" t="inlineStr">
        <is>
          <t>← preencher conforme setor</t>
        </is>
      </c>
      <c r="F10" s="264" t="inlineStr">
        <is>
          <t>← preencher conforme setor</t>
        </is>
      </c>
      <c r="G10" s="254" t="n"/>
      <c r="H10" s="264" t="inlineStr">
        <is>
          <t>← preencher conforme setor</t>
        </is>
      </c>
      <c r="I10" s="264" t="inlineStr">
        <is>
          <t>← preencher conforme setor</t>
        </is>
      </c>
      <c r="J10" s="264" t="inlineStr">
        <is>
          <t>← preencher conforme setor</t>
        </is>
      </c>
      <c r="L10" t="inlineStr">
        <is>
          <t>Carreira</t>
        </is>
      </c>
      <c r="M10" s="159">
        <f>'📊 Score Energético'!F18</f>
        <v/>
      </c>
    </row>
    <row r="11" ht="55" customHeight="1">
      <c r="A11" s="163" t="inlineStr">
        <is>
          <t>#5</t>
        </is>
      </c>
      <c r="B11" s="138">
        <f>IFERROR(INDEX(L3:L11,MATCH(SMALL(M3:M11,5),M3:M11,0)),"—")</f>
        <v/>
      </c>
      <c r="C11" s="164">
        <f>IFERROR(SMALL(M3:M11,5),"")</f>
        <v/>
      </c>
      <c r="D11" s="264" t="inlineStr">
        <is>
          <t>← preencher conforme setor</t>
        </is>
      </c>
      <c r="E11" s="264" t="inlineStr">
        <is>
          <t>← preencher conforme setor</t>
        </is>
      </c>
      <c r="F11" s="264" t="inlineStr">
        <is>
          <t>← preencher conforme setor</t>
        </is>
      </c>
      <c r="G11" s="254" t="n"/>
      <c r="H11" s="264" t="inlineStr">
        <is>
          <t>← preencher conforme setor</t>
        </is>
      </c>
      <c r="I11" s="264" t="inlineStr">
        <is>
          <t>← preencher conforme setor</t>
        </is>
      </c>
      <c r="J11" s="264" t="inlineStr">
        <is>
          <t>← preencher conforme setor</t>
        </is>
      </c>
      <c r="L11" t="inlineStr">
        <is>
          <t>Ajudantes</t>
        </is>
      </c>
      <c r="M11" s="159">
        <f>'📊 Score Energético'!F19</f>
        <v/>
      </c>
    </row>
    <row r="12" ht="55" customHeight="1">
      <c r="A12" s="163" t="inlineStr">
        <is>
          <t>#6</t>
        </is>
      </c>
      <c r="B12" s="138">
        <f>IFERROR(INDEX(L3:L11,MATCH(SMALL(M3:M11,6),M3:M11,0)),"—")</f>
        <v/>
      </c>
      <c r="C12" s="164">
        <f>IFERROR(SMALL(M3:M11,6),"")</f>
        <v/>
      </c>
      <c r="D12" s="264" t="inlineStr">
        <is>
          <t>← preencher conforme setor</t>
        </is>
      </c>
      <c r="E12" s="264" t="inlineStr">
        <is>
          <t>← preencher conforme setor</t>
        </is>
      </c>
      <c r="F12" s="264" t="inlineStr">
        <is>
          <t>← preencher conforme setor</t>
        </is>
      </c>
      <c r="G12" s="254" t="n"/>
      <c r="H12" s="264" t="inlineStr">
        <is>
          <t>← preencher conforme setor</t>
        </is>
      </c>
      <c r="I12" s="264" t="inlineStr">
        <is>
          <t>← preencher conforme setor</t>
        </is>
      </c>
      <c r="J12" s="264" t="inlineStr">
        <is>
          <t>← preencher conforme setor</t>
        </is>
      </c>
    </row>
    <row r="13" ht="55" customHeight="1">
      <c r="A13" s="165" t="inlineStr">
        <is>
          <t>#7</t>
        </is>
      </c>
      <c r="B13" s="134">
        <f>IFERROR(INDEX(L3:L11,MATCH(SMALL(M3:M11,7),M3:M11,0)),"—")</f>
        <v/>
      </c>
      <c r="C13" s="166">
        <f>IFERROR(SMALL(M3:M11,7),"")</f>
        <v/>
      </c>
      <c r="D13" s="264" t="inlineStr">
        <is>
          <t>← preencher conforme setor</t>
        </is>
      </c>
      <c r="E13" s="264" t="inlineStr">
        <is>
          <t>← preencher conforme setor</t>
        </is>
      </c>
      <c r="F13" s="264" t="inlineStr">
        <is>
          <t>← preencher conforme setor</t>
        </is>
      </c>
      <c r="G13" s="254" t="n"/>
      <c r="H13" s="264" t="inlineStr">
        <is>
          <t>← preencher conforme setor</t>
        </is>
      </c>
      <c r="I13" s="264" t="inlineStr">
        <is>
          <t>← preencher conforme setor</t>
        </is>
      </c>
      <c r="J13" s="264" t="inlineStr">
        <is>
          <t>← preencher conforme setor</t>
        </is>
      </c>
    </row>
    <row r="14" ht="55" customHeight="1">
      <c r="A14" s="165" t="inlineStr">
        <is>
          <t>#8</t>
        </is>
      </c>
      <c r="B14" s="134">
        <f>IFERROR(INDEX(L3:L11,MATCH(SMALL(M3:M11,8),M3:M11,0)),"—")</f>
        <v/>
      </c>
      <c r="C14" s="166">
        <f>IFERROR(SMALL(M3:M11,8),"")</f>
        <v/>
      </c>
      <c r="D14" s="264" t="inlineStr">
        <is>
          <t>← preencher conforme setor</t>
        </is>
      </c>
      <c r="E14" s="264" t="inlineStr">
        <is>
          <t>← preencher conforme setor</t>
        </is>
      </c>
      <c r="F14" s="264" t="inlineStr">
        <is>
          <t>← preencher conforme setor</t>
        </is>
      </c>
      <c r="G14" s="254" t="n"/>
      <c r="H14" s="264" t="inlineStr">
        <is>
          <t>← preencher conforme setor</t>
        </is>
      </c>
      <c r="I14" s="264" t="inlineStr">
        <is>
          <t>← preencher conforme setor</t>
        </is>
      </c>
      <c r="J14" s="264" t="inlineStr">
        <is>
          <t>← preencher conforme setor</t>
        </is>
      </c>
    </row>
    <row r="15" ht="55" customHeight="1">
      <c r="A15" s="165" t="inlineStr">
        <is>
          <t>#9</t>
        </is>
      </c>
      <c r="B15" s="134">
        <f>IFERROR(INDEX(L3:L11,MATCH(SMALL(M3:M11,9),M3:M11,0)),"—")</f>
        <v/>
      </c>
      <c r="C15" s="166">
        <f>IFERROR(SMALL(M3:M11,9),"")</f>
        <v/>
      </c>
      <c r="D15" s="264" t="inlineStr">
        <is>
          <t>← preencher conforme setor</t>
        </is>
      </c>
      <c r="E15" s="264" t="inlineStr">
        <is>
          <t>← preencher conforme setor</t>
        </is>
      </c>
      <c r="F15" s="264" t="inlineStr">
        <is>
          <t>← preencher conforme setor</t>
        </is>
      </c>
      <c r="G15" s="254" t="n"/>
      <c r="H15" s="264" t="inlineStr">
        <is>
          <t>← preencher conforme setor</t>
        </is>
      </c>
      <c r="I15" s="264" t="inlineStr">
        <is>
          <t>← preencher conforme setor</t>
        </is>
      </c>
      <c r="J15" s="264" t="inlineStr">
        <is>
          <t>← preencher conforme setor</t>
        </is>
      </c>
    </row>
    <row r="17" ht="24" customHeight="1">
      <c r="A17" s="167" t="inlineStr">
        <is>
          <t>📚 BASE DE PRESCRIÇÕES — Copie os textos conforme o setor identificado</t>
        </is>
      </c>
      <c r="B17" s="99" t="n"/>
      <c r="C17" s="99" t="n"/>
      <c r="D17" s="99" t="n"/>
      <c r="E17" s="99" t="n"/>
      <c r="F17" s="99" t="n"/>
      <c r="G17" s="99" t="n"/>
      <c r="H17" s="99" t="n"/>
      <c r="I17" s="99" t="n"/>
      <c r="J17" s="100" t="n"/>
    </row>
    <row r="18" ht="28" customHeight="1">
      <c r="A18" s="40" t="inlineStr">
        <is>
          <t>Setor</t>
        </is>
      </c>
      <c r="B18" s="40" t="inlineStr">
        <is>
          <t>Problema</t>
        </is>
      </c>
      <c r="C18" s="40" t="inlineStr">
        <is>
          <t>Ativação / Objeto</t>
        </is>
      </c>
      <c r="D18" s="29" t="n"/>
      <c r="E18" s="40" t="inlineStr">
        <is>
          <t>Mantra</t>
        </is>
      </c>
      <c r="F18" s="29" t="n"/>
      <c r="G18" s="40" t="inlineStr">
        <is>
          <t>Visualização</t>
        </is>
      </c>
      <c r="H18" s="29" t="n"/>
      <c r="I18" s="40" t="inlineStr">
        <is>
          <t>Fase Lunar</t>
        </is>
      </c>
      <c r="J18" s="40" t="inlineStr">
        <is>
          <t>Notas</t>
        </is>
      </c>
    </row>
    <row r="19" ht="55" customHeight="1">
      <c r="A19" s="30" t="inlineStr">
        <is>
          <t>Prosperidade</t>
        </is>
      </c>
      <c r="B19" s="47" t="inlineStr">
        <is>
          <t>Área técnica/vazia no setor</t>
        </is>
      </c>
      <c r="C19" s="47" t="inlineStr">
        <is>
          <t>Planta robusta + luz p/ cima + objeto dourado no closet</t>
        </is>
      </c>
      <c r="D19" s="4" t="n"/>
      <c r="E19" s="168" t="inlineStr">
        <is>
          <t>"Esta planta cresce e floresce, assim como a abundância flui para minha vida de forma constante, fácil e merecida"</t>
        </is>
      </c>
      <c r="F19" s="4" t="n"/>
      <c r="G19" s="169" t="inlineStr">
        <is>
          <t>Corrente de água limpa trazendo recursos e oportunidades em abundância</t>
        </is>
      </c>
      <c r="H19" s="4" t="n"/>
      <c r="I19" s="170" t="inlineStr">
        <is>
          <t>🌒 Crescente</t>
        </is>
      </c>
      <c r="J19" s="275" t="inlineStr"/>
    </row>
    <row r="20" ht="55" customHeight="1">
      <c r="A20" s="171" t="inlineStr">
        <is>
          <t>Fama</t>
        </is>
      </c>
      <c r="B20" s="50" t="inlineStr">
        <is>
          <t>Setor sem elemento fogo ativo</t>
        </is>
      </c>
      <c r="C20" s="50" t="inlineStr">
        <is>
          <t>Iluminação forte no teto + obra em tons de fogo + diplomas em molduras</t>
        </is>
      </c>
      <c r="D20" s="4" t="n"/>
      <c r="E20" s="168" t="inlineStr">
        <is>
          <t>"Sou reconhecido(a) pelo melhor que tenho a oferecer. Meu nome é lembrado com respeito e admiração"</t>
        </is>
      </c>
      <c r="F20" s="4" t="n"/>
      <c r="G20" s="169" t="inlineStr">
        <is>
          <t>Farol irradiando energia que atrai reconhecimento genuíno</t>
        </is>
      </c>
      <c r="H20" s="4" t="n"/>
      <c r="I20" s="172" t="inlineStr">
        <is>
          <t>🌕 Cheia</t>
        </is>
      </c>
      <c r="J20" s="275" t="inlineStr"/>
    </row>
    <row r="21" ht="55" customHeight="1">
      <c r="A21" s="33" t="inlineStr">
        <is>
          <t>Relacionamentos</t>
        </is>
      </c>
      <c r="B21" s="69" t="inlineStr">
        <is>
          <t>Falta de ativação de pares</t>
        </is>
      </c>
      <c r="C21" s="69" t="inlineStr">
        <is>
          <t>Objetos em pares simétricos + cristal quartzo rosa + luz quente</t>
        </is>
      </c>
      <c r="D21" s="4" t="n"/>
      <c r="E21" s="168" t="inlineStr">
        <is>
          <t>"Atraio relacionamentos saudáveis, recíprocos e enriquecedores. Sou digno(a) de amor pleno"</t>
        </is>
      </c>
      <c r="F21" s="4" t="n"/>
      <c r="G21" s="169" t="inlineStr">
        <is>
          <t>Dois seres que se completam, campo de amor e segurança envolvendo o quarto</t>
        </is>
      </c>
      <c r="H21" s="4" t="n"/>
      <c r="I21" s="173" t="inlineStr">
        <is>
          <t>🌕 Cheia</t>
        </is>
      </c>
      <c r="J21" s="275" t="inlineStr"/>
    </row>
    <row r="22" ht="55" customHeight="1">
      <c r="A22" s="174" t="inlineStr">
        <is>
          <t>Família</t>
        </is>
      </c>
      <c r="B22" s="50" t="inlineStr">
        <is>
          <t>Área de serviço no setor familiar</t>
        </is>
      </c>
      <c r="C22" s="50" t="inlineStr">
        <is>
          <t>Planta folha larga + foto de família + reorganização profunda</t>
        </is>
      </c>
      <c r="D22" s="4" t="n"/>
      <c r="E22" s="168" t="inlineStr">
        <is>
          <t>"Nossas raízes são profundas, nossos laços são fortes. Harmonia e apoio fluem entre todos nós"</t>
        </is>
      </c>
      <c r="F22" s="4" t="n"/>
      <c r="G22" s="169" t="inlineStr">
        <is>
          <t>Família reunida, laços como raízes de árvore grande e sólida</t>
        </is>
      </c>
      <c r="H22" s="4" t="n"/>
      <c r="I22" s="172" t="inlineStr">
        <is>
          <t>🌑 Nova</t>
        </is>
      </c>
      <c r="J22" s="275" t="inlineStr"/>
    </row>
    <row r="23" ht="55" customHeight="1">
      <c r="A23" s="32" t="inlineStr">
        <is>
          <t>Saúde</t>
        </is>
      </c>
      <c r="B23" s="92" t="inlineStr">
        <is>
          <t>Corredor acelera o chi</t>
        </is>
      </c>
      <c r="C23" s="92" t="inlineStr">
        <is>
          <t>Tapete natural no corredor + cristal citrino + iluminação equilibrada</t>
        </is>
      </c>
      <c r="D23" s="4" t="n"/>
      <c r="E23" s="168" t="inlineStr">
        <is>
          <t>"Este tapete ancora minha saúde e de todos que vivem neste lar. Nossa vitalidade é forte e renovada"</t>
        </is>
      </c>
      <c r="F23" s="4" t="n"/>
      <c r="G23" s="169" t="inlineStr">
        <is>
          <t>Moradores caminhando com leveza, chi fluindo suavemente como água pela terra</t>
        </is>
      </c>
      <c r="H23" s="4" t="n"/>
      <c r="I23" s="175" t="inlineStr">
        <is>
          <t>🌑 Nova</t>
        </is>
      </c>
      <c r="J23" s="275" t="inlineStr"/>
    </row>
    <row r="24" ht="55" customHeight="1">
      <c r="A24" s="176" t="inlineStr">
        <is>
          <t>Criatividade</t>
        </is>
      </c>
      <c r="B24" s="50" t="inlineStr">
        <is>
          <t>Terraço com energia dispersa</t>
        </is>
      </c>
      <c r="C24" s="50" t="inlineStr">
        <is>
          <t>Flores em vasos + elemento circular no living + fruteira na mesa</t>
        </is>
      </c>
      <c r="D24" s="4" t="n"/>
      <c r="E24" s="168" t="inlineStr">
        <is>
          <t>"O círculo representa criação sem fim. A criatividade flui, as ideias surgem com facilidade e alegria"</t>
        </is>
      </c>
      <c r="F24" s="4" t="n"/>
      <c r="G24" s="169" t="inlineStr">
        <is>
          <t>Espaço vivo, conversas que inspiram, projetos nascendo espontaneamente</t>
        </is>
      </c>
      <c r="H24" s="4" t="n"/>
      <c r="I24" s="172" t="inlineStr">
        <is>
          <t>🌒 Crescente</t>
        </is>
      </c>
      <c r="J24" s="275" t="inlineStr"/>
    </row>
    <row r="25" ht="55" customHeight="1">
      <c r="A25" s="37" t="inlineStr">
        <is>
          <t>Conhecimento</t>
        </is>
      </c>
      <c r="B25" s="116" t="inlineStr">
        <is>
          <t>Falta de elemento terra e água</t>
        </is>
      </c>
      <c r="C25" s="116" t="inlineStr">
        <is>
          <t>Cristal azul ou verde + livros organizados + luz suave</t>
        </is>
      </c>
      <c r="D25" s="4" t="n"/>
      <c r="E25" s="168" t="inlineStr">
        <is>
          <t>"Este espaço nutre minha mente e minha alma. O conhecimento flui e me transforma continuamente"</t>
        </is>
      </c>
      <c r="F25" s="4" t="n"/>
      <c r="G25" s="169" t="inlineStr">
        <is>
          <t>Mente clara e aberta, absorvendo sabedoria com facilidade e prazer</t>
        </is>
      </c>
      <c r="H25" s="4" t="n"/>
      <c r="I25" s="177" t="inlineStr">
        <is>
          <t>🌑 Nova</t>
        </is>
      </c>
      <c r="J25" s="275" t="inlineStr"/>
    </row>
    <row r="26" ht="55" customHeight="1">
      <c r="A26" s="176" t="inlineStr">
        <is>
          <t>Carreira</t>
        </is>
      </c>
      <c r="B26" s="50" t="inlineStr">
        <is>
          <t>Entrada sem ativação adequada</t>
        </is>
      </c>
      <c r="C26" s="50" t="inlineStr">
        <is>
          <t>Espelho lateral + tapete de qualidade + iluminação forte na entrada</t>
        </is>
      </c>
      <c r="D26" s="4" t="n"/>
      <c r="E26" s="168" t="inlineStr">
        <is>
          <t>"Este espelho acolhe e amplifica as oportunidades. Minha carreira se expande, meu propósito é claro"</t>
        </is>
      </c>
      <c r="F26" s="4" t="n"/>
      <c r="G26" s="169" t="inlineStr">
        <is>
          <t>Chegando em casa após grande conquista profissional, expressão de satisfação plena</t>
        </is>
      </c>
      <c r="H26" s="4" t="n"/>
      <c r="I26" s="172" t="inlineStr">
        <is>
          <t>🌒 Crescente</t>
        </is>
      </c>
      <c r="J26" s="275" t="inlineStr"/>
    </row>
    <row r="27" ht="55" customHeight="1">
      <c r="A27" s="38" t="inlineStr">
        <is>
          <t>Ajudantes</t>
        </is>
      </c>
      <c r="B27" s="128" t="inlineStr">
        <is>
          <t>Área de acesso sem ativação</t>
        </is>
      </c>
      <c r="C27" s="128" t="inlineStr">
        <is>
          <t>Elemento metálico + luz na entrada de serviço + organização</t>
        </is>
      </c>
      <c r="D27" s="4" t="n"/>
      <c r="E27" s="168" t="inlineStr">
        <is>
          <t>"Atraio as pessoas certas, no momento certo. Sou apoiado(a) por parceiros, mentores e recursos"</t>
        </is>
      </c>
      <c r="F27" s="4" t="n"/>
      <c r="G27" s="169" t="inlineStr">
        <is>
          <t>Rede de apoio sólida chegando quando mais preciso, portas se abrindo naturalmente</t>
        </is>
      </c>
      <c r="H27" s="4" t="n"/>
      <c r="I27" s="178" t="inlineStr">
        <is>
          <t>🌒 Crescente</t>
        </is>
      </c>
      <c r="J27" s="275" t="inlineStr"/>
    </row>
  </sheetData>
  <mergeCells count="44">
    <mergeCell ref="G21:H21"/>
    <mergeCell ref="A5:J5"/>
    <mergeCell ref="F11:G11"/>
    <mergeCell ref="A1:J2"/>
    <mergeCell ref="C24:D24"/>
    <mergeCell ref="F10:G10"/>
    <mergeCell ref="A17:J17"/>
    <mergeCell ref="E24:F24"/>
    <mergeCell ref="G27:H27"/>
    <mergeCell ref="E23:F23"/>
    <mergeCell ref="F6:G6"/>
    <mergeCell ref="G23:H23"/>
    <mergeCell ref="C26:D26"/>
    <mergeCell ref="F7:G7"/>
    <mergeCell ref="C20:D20"/>
    <mergeCell ref="F12:G12"/>
    <mergeCell ref="E20:F20"/>
    <mergeCell ref="G22:H22"/>
    <mergeCell ref="F15:G15"/>
    <mergeCell ref="C25:D25"/>
    <mergeCell ref="E19:F19"/>
    <mergeCell ref="G19:H19"/>
    <mergeCell ref="C22:D22"/>
    <mergeCell ref="G18:H18"/>
    <mergeCell ref="F8:G8"/>
    <mergeCell ref="C21:D21"/>
    <mergeCell ref="G24:H24"/>
    <mergeCell ref="C27:D27"/>
    <mergeCell ref="E27:F27"/>
    <mergeCell ref="F13:G13"/>
    <mergeCell ref="E26:F26"/>
    <mergeCell ref="C23:D23"/>
    <mergeCell ref="G26:H26"/>
    <mergeCell ref="F9:G9"/>
    <mergeCell ref="G20:H20"/>
    <mergeCell ref="E25:F25"/>
    <mergeCell ref="G25:H25"/>
    <mergeCell ref="A3:J3"/>
    <mergeCell ref="C19:D19"/>
    <mergeCell ref="E22:F22"/>
    <mergeCell ref="F14:G14"/>
    <mergeCell ref="C18:D18"/>
    <mergeCell ref="E18:F18"/>
    <mergeCell ref="E21:F21"/>
  </mergeCells>
  <conditionalFormatting sqref="C7">
    <cfRule type="cellIs" priority="1" operator="lessThan" dxfId="0">
      <formula>0.4</formula>
    </cfRule>
    <cfRule type="cellIs" priority="2" operator="between" dxfId="1">
      <formula>0.4</formula>
      <formula>0.599</formula>
    </cfRule>
    <cfRule type="cellIs" priority="3" operator="greaterThanOrEqual" dxfId="3">
      <formula>0.6</formula>
    </cfRule>
  </conditionalFormatting>
  <conditionalFormatting sqref="C8">
    <cfRule type="cellIs" priority="4" operator="lessThan" dxfId="0">
      <formula>0.4</formula>
    </cfRule>
    <cfRule type="cellIs" priority="5" operator="between" dxfId="1">
      <formula>0.4</formula>
      <formula>0.599</formula>
    </cfRule>
    <cfRule type="cellIs" priority="6" operator="greaterThanOrEqual" dxfId="3">
      <formula>0.6</formula>
    </cfRule>
  </conditionalFormatting>
  <conditionalFormatting sqref="C9">
    <cfRule type="cellIs" priority="7" operator="lessThan" dxfId="0">
      <formula>0.4</formula>
    </cfRule>
    <cfRule type="cellIs" priority="8" operator="between" dxfId="1">
      <formula>0.4</formula>
      <formula>0.599</formula>
    </cfRule>
    <cfRule type="cellIs" priority="9" operator="greaterThanOrEqual" dxfId="3">
      <formula>0.6</formula>
    </cfRule>
  </conditionalFormatting>
  <conditionalFormatting sqref="C10">
    <cfRule type="cellIs" priority="10" operator="lessThan" dxfId="0">
      <formula>0.4</formula>
    </cfRule>
    <cfRule type="cellIs" priority="11" operator="between" dxfId="1">
      <formula>0.4</formula>
      <formula>0.599</formula>
    </cfRule>
    <cfRule type="cellIs" priority="12" operator="greaterThanOrEqual" dxfId="3">
      <formula>0.6</formula>
    </cfRule>
  </conditionalFormatting>
  <conditionalFormatting sqref="C11">
    <cfRule type="cellIs" priority="13" operator="lessThan" dxfId="0">
      <formula>0.4</formula>
    </cfRule>
    <cfRule type="cellIs" priority="14" operator="between" dxfId="1">
      <formula>0.4</formula>
      <formula>0.599</formula>
    </cfRule>
    <cfRule type="cellIs" priority="15" operator="greaterThanOrEqual" dxfId="3">
      <formula>0.6</formula>
    </cfRule>
  </conditionalFormatting>
  <conditionalFormatting sqref="C12">
    <cfRule type="cellIs" priority="16" operator="lessThan" dxfId="0">
      <formula>0.4</formula>
    </cfRule>
    <cfRule type="cellIs" priority="17" operator="between" dxfId="1">
      <formula>0.4</formula>
      <formula>0.599</formula>
    </cfRule>
    <cfRule type="cellIs" priority="18" operator="greaterThanOrEqual" dxfId="3">
      <formula>0.6</formula>
    </cfRule>
  </conditionalFormatting>
  <conditionalFormatting sqref="C13">
    <cfRule type="cellIs" priority="19" operator="lessThan" dxfId="0">
      <formula>0.4</formula>
    </cfRule>
    <cfRule type="cellIs" priority="20" operator="between" dxfId="1">
      <formula>0.4</formula>
      <formula>0.599</formula>
    </cfRule>
    <cfRule type="cellIs" priority="21" operator="greaterThanOrEqual" dxfId="3">
      <formula>0.6</formula>
    </cfRule>
  </conditionalFormatting>
  <conditionalFormatting sqref="C14">
    <cfRule type="cellIs" priority="22" operator="lessThan" dxfId="0">
      <formula>0.4</formula>
    </cfRule>
    <cfRule type="cellIs" priority="23" operator="between" dxfId="1">
      <formula>0.4</formula>
      <formula>0.599</formula>
    </cfRule>
    <cfRule type="cellIs" priority="24" operator="greaterThanOrEqual" dxfId="3">
      <formula>0.6</formula>
    </cfRule>
  </conditionalFormatting>
  <conditionalFormatting sqref="C15">
    <cfRule type="cellIs" priority="25" operator="lessThan" dxfId="0">
      <formula>0.4</formula>
    </cfRule>
    <cfRule type="cellIs" priority="26" operator="between" dxfId="1">
      <formula>0.4</formula>
      <formula>0.599</formula>
    </cfRule>
    <cfRule type="cellIs" priority="27" operator="greaterThanOrEqual" dxfId="3">
      <formula>0.6</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2"/>
  <sheetViews>
    <sheetView showGridLines="0" workbookViewId="0">
      <selection activeCell="A1" sqref="A1"/>
    </sheetView>
  </sheetViews>
  <sheetFormatPr baseColWidth="8" defaultRowHeight="15"/>
  <cols>
    <col width="6" customWidth="1" min="1" max="1"/>
    <col width="16" customWidth="1" min="2" max="2"/>
    <col width="14" customWidth="1" min="3" max="3"/>
    <col width="14" customWidth="1" min="4" max="4"/>
    <col width="16" customWidth="1" min="5" max="5"/>
    <col width="14" customWidth="1" min="6" max="6"/>
    <col width="16" customWidth="1" min="7" max="7"/>
    <col width="16" customWidth="1" min="8" max="8"/>
  </cols>
  <sheetData>
    <row r="1" ht="30" customHeight="1">
      <c r="A1" s="179" t="inlineStr">
        <is>
          <t>FENG SHUI CHAPÉU PRETO
Relatório de Diagnóstico e Plano de Ativação</t>
        </is>
      </c>
    </row>
    <row r="2" ht="30" customHeight="1"/>
    <row r="3"/>
    <row r="4" ht="24" customHeight="1">
      <c r="A4" s="180" t="inlineStr">
        <is>
          <t>✨  Que este lar seja um portal de prosperidade, saúde, amor e realização  ✨</t>
        </is>
      </c>
    </row>
    <row r="5" ht="20" customHeight="1">
      <c r="A5" s="354" t="inlineStr">
        <is>
          <t>✅ Nome do cliente, consultor, data e endereço são preenchidos AUTOMATICAMENTE da aba 👤 Cliente</t>
        </is>
      </c>
      <c r="B5" s="3" t="n"/>
      <c r="C5" s="3" t="n"/>
      <c r="D5" s="3" t="n"/>
      <c r="E5" s="3" t="n"/>
      <c r="F5" s="3" t="n"/>
      <c r="G5" s="3" t="n"/>
      <c r="H5" s="4" t="n"/>
    </row>
    <row r="6" ht="24" customHeight="1"/>
    <row r="7" ht="22" customHeight="1">
      <c r="A7" s="22" t="inlineStr">
        <is>
          <t>📋 DADOS DA CONSULTA</t>
        </is>
      </c>
      <c r="B7" s="23" t="n"/>
      <c r="C7" s="23" t="n"/>
      <c r="D7" s="23" t="n"/>
      <c r="E7" s="23" t="n"/>
      <c r="F7" s="23" t="n"/>
      <c r="G7" s="23" t="n"/>
      <c r="H7" s="24" t="n"/>
    </row>
    <row r="8" ht="22" customHeight="1">
      <c r="A8" s="252" t="inlineStr">
        <is>
          <t>Cliente:</t>
        </is>
      </c>
      <c r="B8" s="297">
        <f>'👤 Cliente'!B4</f>
        <v/>
      </c>
      <c r="C8" s="3" t="n"/>
      <c r="D8" s="4" t="n"/>
    </row>
    <row r="9" ht="22" customHeight="1">
      <c r="A9" s="252" t="inlineStr">
        <is>
          <t>Data:</t>
        </is>
      </c>
      <c r="B9" s="297">
        <f>'👤 Cliente'!E7</f>
        <v/>
      </c>
      <c r="C9" s="3" t="n"/>
      <c r="D9" s="3" t="n"/>
      <c r="E9" s="3" t="n"/>
      <c r="F9" s="3" t="n"/>
      <c r="G9" s="3" t="n"/>
      <c r="H9" s="4" t="n"/>
    </row>
    <row r="10" ht="22" customHeight="1">
      <c r="A10" s="252" t="inlineStr">
        <is>
          <t>Endereço:</t>
        </is>
      </c>
      <c r="B10" s="297">
        <f>'👤 Cliente'!B10</f>
        <v/>
      </c>
      <c r="C10" s="3" t="n"/>
      <c r="D10" s="4" t="n"/>
      <c r="E10" s="3" t="n"/>
      <c r="F10" s="3" t="n"/>
      <c r="G10" s="3" t="n"/>
      <c r="H10" s="4" t="n"/>
    </row>
    <row r="11" ht="22" customHeight="1">
      <c r="A11" s="252" t="inlineStr">
        <is>
          <t>Consultor:</t>
        </is>
      </c>
      <c r="B11" s="297">
        <f>'👤 Cliente'!B5</f>
        <v/>
      </c>
      <c r="C11" s="3" t="n"/>
      <c r="D11" s="4" t="n"/>
    </row>
    <row r="12">
      <c r="A12" s="252" t="inlineStr">
        <is>
          <t>Contato:</t>
        </is>
      </c>
      <c r="B12" s="297">
        <f>'👤 Cliente'!E6</f>
        <v/>
      </c>
      <c r="E12" s="358" t="inlineStr"/>
      <c r="F12" s="3" t="n"/>
      <c r="G12" s="3" t="n"/>
      <c r="H12" s="4" t="n"/>
    </row>
    <row r="13" ht="24" customHeight="1"/>
    <row r="14" ht="26" customHeight="1">
      <c r="A14" s="22" t="inlineStr">
        <is>
          <t>🗺️ MAPA ENERGÉTICO — Colorido Automaticamente</t>
        </is>
      </c>
      <c r="B14" s="24" t="n"/>
      <c r="C14" s="23" t="n"/>
      <c r="D14" s="23" t="n"/>
      <c r="E14" s="23" t="n"/>
      <c r="F14" s="23" t="n"/>
      <c r="G14" s="23" t="n"/>
      <c r="H14" s="24" t="n"/>
    </row>
    <row r="15" ht="22" customHeight="1">
      <c r="A15" s="181" t="inlineStr">
        <is>
          <t>Prosperidade</t>
        </is>
      </c>
      <c r="B15" s="43" t="n"/>
      <c r="C15" s="182" t="inlineStr">
        <is>
          <t>Fama</t>
        </is>
      </c>
      <c r="D15" s="57" t="n"/>
      <c r="E15" s="183" t="inlineStr">
        <is>
          <t>Relacionamentos</t>
        </is>
      </c>
      <c r="F15" s="65" t="n"/>
    </row>
    <row r="16" ht="26" customHeight="1">
      <c r="A16" s="184">
        <f>'📊 Score Energético'!F11</f>
        <v/>
      </c>
      <c r="B16" s="185" t="n"/>
      <c r="C16" s="186">
        <f>'📊 Score Energético'!F12</f>
        <v/>
      </c>
      <c r="D16" s="187" t="n"/>
      <c r="E16" s="188">
        <f>'📊 Score Energético'!F13</f>
        <v/>
      </c>
      <c r="F16" s="189" t="n"/>
    </row>
    <row r="17" ht="22" customHeight="1">
      <c r="A17" s="190" t="inlineStr">
        <is>
          <t>Família</t>
        </is>
      </c>
      <c r="B17" s="76" t="n"/>
      <c r="C17" s="191" t="inlineStr">
        <is>
          <t>Saúde</t>
        </is>
      </c>
      <c r="D17" s="88" t="n"/>
      <c r="E17" s="192" t="inlineStr">
        <is>
          <t>Criatividade</t>
        </is>
      </c>
      <c r="F17" s="100" t="n"/>
    </row>
    <row r="18" ht="26" customHeight="1">
      <c r="A18" s="193">
        <f>'📊 Score Energético'!F14</f>
        <v/>
      </c>
      <c r="B18" s="194" t="n"/>
      <c r="C18" s="195">
        <f>'📊 Score Energético'!F15</f>
        <v/>
      </c>
      <c r="D18" s="196" t="n"/>
      <c r="E18" s="197">
        <f>'📊 Score Energético'!F16</f>
        <v/>
      </c>
      <c r="F18" s="198" t="n"/>
    </row>
    <row r="19" ht="22" customHeight="1">
      <c r="A19" s="199" t="inlineStr">
        <is>
          <t>Conhecimento</t>
        </is>
      </c>
      <c r="B19" s="112" t="n"/>
      <c r="C19" s="192" t="inlineStr">
        <is>
          <t>Carreira</t>
        </is>
      </c>
      <c r="D19" s="100" t="n"/>
      <c r="E19" s="200" t="inlineStr">
        <is>
          <t>Ajudantes</t>
        </is>
      </c>
      <c r="F19" s="124" t="n"/>
    </row>
    <row r="20">
      <c r="A20" s="201">
        <f>'📊 Score Energético'!F17</f>
        <v/>
      </c>
      <c r="B20" s="202" t="n"/>
      <c r="C20" s="197">
        <f>'📊 Score Energético'!F18</f>
        <v/>
      </c>
      <c r="D20" s="198" t="n"/>
      <c r="E20" s="203">
        <f>'📊 Score Energético'!F19</f>
        <v/>
      </c>
      <c r="F20" s="204" t="n"/>
    </row>
    <row r="21" ht="22" customHeight="1"/>
    <row r="22">
      <c r="A22" s="336" t="inlineStr">
        <is>
          <t>🚪 Porta de entrada:</t>
        </is>
      </c>
      <c r="B22" s="322" t="inlineStr"/>
      <c r="C22" s="3" t="n"/>
      <c r="D22" s="3" t="n"/>
      <c r="E22" s="3" t="n"/>
      <c r="F22" s="3" t="n"/>
      <c r="G22" s="3" t="n"/>
      <c r="H22" s="4" t="n"/>
    </row>
    <row r="23" ht="24" customHeight="1"/>
    <row r="24" ht="22" customHeight="1">
      <c r="A24" s="22" t="inlineStr">
        <is>
          <t>📊 DIAGNÓSTICO AUTOMÁTICO POR SETOR</t>
        </is>
      </c>
      <c r="B24" s="23" t="n"/>
      <c r="C24" s="23" t="n"/>
      <c r="D24" s="23" t="n"/>
      <c r="E24" s="24" t="n"/>
      <c r="F24" s="23" t="n"/>
      <c r="G24" s="23" t="n"/>
      <c r="H24" s="24" t="n"/>
    </row>
    <row r="25" ht="28" customHeight="1">
      <c r="A25" s="142" t="inlineStr">
        <is>
          <t>Setor</t>
        </is>
      </c>
      <c r="B25" s="142" t="inlineStr">
        <is>
          <t>Score</t>
        </is>
      </c>
      <c r="C25" s="142" t="inlineStr">
        <is>
          <t>% Saúde</t>
        </is>
      </c>
      <c r="D25" s="142" t="inlineStr">
        <is>
          <t>Status 🚦</t>
        </is>
      </c>
      <c r="E25" s="142" t="inlineStr">
        <is>
          <t>Ativação Prioritária</t>
        </is>
      </c>
      <c r="F25" s="206" t="n"/>
      <c r="G25" s="206" t="n"/>
      <c r="H25" s="29" t="n"/>
    </row>
    <row r="26" ht="28" customHeight="1">
      <c r="A26" s="30" t="inlineStr">
        <is>
          <t>🔴 Prosperidade</t>
        </is>
      </c>
      <c r="B26" s="207">
        <f>'📊 Score Energético'!D11</f>
        <v/>
      </c>
      <c r="C26" s="146">
        <f>'📊 Score Energético'!F11</f>
        <v/>
      </c>
      <c r="D26" s="31">
        <f>'📊 Score Energético'!G11</f>
        <v/>
      </c>
      <c r="E26" s="208" t="inlineStr">
        <is>
          <t>Planta robusta + luz p/ cima + objeto dourado no closet</t>
        </is>
      </c>
      <c r="F26" s="3" t="n"/>
      <c r="G26" s="3" t="n"/>
      <c r="H26" s="4" t="n"/>
    </row>
    <row r="27" ht="28" customHeight="1">
      <c r="A27" s="171" t="inlineStr">
        <is>
          <t>🔥 Fama</t>
        </is>
      </c>
      <c r="B27" s="207">
        <f>'📊 Score Energético'!D12</f>
        <v/>
      </c>
      <c r="C27" s="146">
        <f>'📊 Score Energético'!F12</f>
        <v/>
      </c>
      <c r="D27" s="31">
        <f>'📊 Score Energético'!G12</f>
        <v/>
      </c>
      <c r="E27" s="209" t="inlineStr">
        <is>
          <t>Iluminação forte no teto + obra em tons de fogo + diplomas em molduras</t>
        </is>
      </c>
      <c r="F27" s="3" t="n"/>
      <c r="G27" s="3" t="n"/>
      <c r="H27" s="4" t="n"/>
    </row>
    <row r="28" ht="28" customHeight="1">
      <c r="A28" s="33" t="inlineStr">
        <is>
          <t>💜 Relacionamentos</t>
        </is>
      </c>
      <c r="B28" s="207">
        <f>'📊 Score Energético'!D13</f>
        <v/>
      </c>
      <c r="C28" s="146">
        <f>'📊 Score Energético'!F13</f>
        <v/>
      </c>
      <c r="D28" s="31">
        <f>'📊 Score Energético'!G13</f>
        <v/>
      </c>
      <c r="E28" s="210" t="inlineStr">
        <is>
          <t>Objetos em pares simétricos + cristal quartzo rosa + luz quente</t>
        </is>
      </c>
      <c r="F28" s="3" t="n"/>
      <c r="G28" s="3" t="n"/>
      <c r="H28" s="4" t="n"/>
    </row>
    <row r="29" ht="28" customHeight="1">
      <c r="A29" s="174" t="inlineStr">
        <is>
          <t>🌿 Família</t>
        </is>
      </c>
      <c r="B29" s="207">
        <f>'📊 Score Energético'!D14</f>
        <v/>
      </c>
      <c r="C29" s="146">
        <f>'📊 Score Energético'!F14</f>
        <v/>
      </c>
      <c r="D29" s="31">
        <f>'📊 Score Energético'!G14</f>
        <v/>
      </c>
      <c r="E29" s="209" t="inlineStr">
        <is>
          <t>Planta folha larga + foto de família + reorganização profunda</t>
        </is>
      </c>
      <c r="F29" s="3" t="n"/>
      <c r="G29" s="3" t="n"/>
      <c r="H29" s="4" t="n"/>
    </row>
    <row r="30" ht="28" customHeight="1">
      <c r="A30" s="32" t="inlineStr">
        <is>
          <t>🟡 Saúde</t>
        </is>
      </c>
      <c r="B30" s="207">
        <f>'📊 Score Energético'!D15</f>
        <v/>
      </c>
      <c r="C30" s="146">
        <f>'📊 Score Energético'!F15</f>
        <v/>
      </c>
      <c r="D30" s="31">
        <f>'📊 Score Energético'!G15</f>
        <v/>
      </c>
      <c r="E30" s="211" t="inlineStr">
        <is>
          <t>Tapete natural no corredor + cristal citrino + iluminação equilibrada</t>
        </is>
      </c>
      <c r="F30" s="3" t="n"/>
      <c r="G30" s="3" t="n"/>
      <c r="H30" s="4" t="n"/>
    </row>
    <row r="31" ht="28" customHeight="1">
      <c r="A31" s="176" t="inlineStr">
        <is>
          <t>⭕ Criatividade</t>
        </is>
      </c>
      <c r="B31" s="207">
        <f>'📊 Score Energético'!D16</f>
        <v/>
      </c>
      <c r="C31" s="146">
        <f>'📊 Score Energético'!F16</f>
        <v/>
      </c>
      <c r="D31" s="31">
        <f>'📊 Score Energético'!G16</f>
        <v/>
      </c>
      <c r="E31" s="209" t="inlineStr">
        <is>
          <t>Flores em vasos + elemento circular no living + fruteira na mesa</t>
        </is>
      </c>
      <c r="F31" s="3" t="n"/>
      <c r="G31" s="3" t="n"/>
      <c r="H31" s="4" t="n"/>
    </row>
    <row r="32" ht="28" customHeight="1">
      <c r="A32" s="37" t="inlineStr">
        <is>
          <t>📚 Conhecimento</t>
        </is>
      </c>
      <c r="B32" s="207">
        <f>'📊 Score Energético'!D17</f>
        <v/>
      </c>
      <c r="C32" s="146">
        <f>'📊 Score Energético'!F17</f>
        <v/>
      </c>
      <c r="D32" s="31">
        <f>'📊 Score Energético'!G17</f>
        <v/>
      </c>
      <c r="E32" s="212" t="inlineStr">
        <is>
          <t>Cristal azul ou verde + livros organizados + luz suave</t>
        </is>
      </c>
      <c r="F32" s="3" t="n"/>
      <c r="G32" s="3" t="n"/>
      <c r="H32" s="4" t="n"/>
    </row>
    <row r="33" ht="28" customHeight="1">
      <c r="A33" s="176" t="inlineStr">
        <is>
          <t>🔵 Carreira</t>
        </is>
      </c>
      <c r="B33" s="207">
        <f>'📊 Score Energético'!D18</f>
        <v/>
      </c>
      <c r="C33" s="146">
        <f>'📊 Score Energético'!F18</f>
        <v/>
      </c>
      <c r="D33" s="31">
        <f>'📊 Score Energético'!G18</f>
        <v/>
      </c>
      <c r="E33" s="209" t="inlineStr">
        <is>
          <t>Espelho lateral + tapete de qualidade + iluminação forte na entrada</t>
        </is>
      </c>
      <c r="F33" s="3" t="n"/>
      <c r="G33" s="3" t="n"/>
      <c r="H33" s="4" t="n"/>
    </row>
    <row r="34">
      <c r="A34" s="38" t="inlineStr">
        <is>
          <t>🤝 Ajudantes</t>
        </is>
      </c>
      <c r="B34" s="207">
        <f>'📊 Score Energético'!D19</f>
        <v/>
      </c>
      <c r="C34" s="146">
        <f>'📊 Score Energético'!F19</f>
        <v/>
      </c>
      <c r="D34" s="31">
        <f>'📊 Score Energético'!G19</f>
        <v/>
      </c>
      <c r="E34" s="213" t="inlineStr">
        <is>
          <t>Elemento metálico + luz na entrada de serviço + organização</t>
        </is>
      </c>
      <c r="F34" s="3" t="n"/>
      <c r="G34" s="3" t="n"/>
      <c r="H34" s="4" t="n"/>
    </row>
    <row r="36" ht="24" customHeight="1"/>
    <row r="37" ht="22" customHeight="1">
      <c r="A37" s="214" t="inlineStr">
        <is>
          <t>⚠️ LEMBRETES AO CLIENTE</t>
        </is>
      </c>
      <c r="B37" s="215" t="n"/>
      <c r="C37" s="215" t="n"/>
      <c r="D37" s="215" t="n"/>
      <c r="E37" s="215" t="n"/>
      <c r="F37" s="215" t="n"/>
      <c r="G37" s="215" t="n"/>
      <c r="H37" s="216" t="n"/>
    </row>
    <row r="38" ht="22" customHeight="1">
      <c r="A38" s="217" t="inlineStr">
        <is>
          <t>• A INTENÇÃO é mais poderosa que o objeto. Ative sempre com os Três Segredos: Gesto + Mantra + Visualização (9x).</t>
        </is>
      </c>
      <c r="B38" s="3" t="n"/>
      <c r="C38" s="3" t="n"/>
      <c r="D38" s="3" t="n"/>
      <c r="E38" s="3" t="n"/>
      <c r="F38" s="3" t="n"/>
      <c r="G38" s="3" t="n"/>
      <c r="H38" s="4" t="n"/>
    </row>
    <row r="39" ht="22" customHeight="1">
      <c r="A39" s="217" t="inlineStr">
        <is>
          <t>• Manter LIMPO e ORGANIZADO é o pré-requisito de qualquer ativação. Desordem desfaz tudo.</t>
        </is>
      </c>
      <c r="B39" s="3" t="n"/>
      <c r="C39" s="3" t="n"/>
      <c r="D39" s="3" t="n"/>
      <c r="E39" s="3" t="n"/>
      <c r="F39" s="3" t="n"/>
      <c r="G39" s="3" t="n"/>
      <c r="H39" s="4" t="n"/>
    </row>
    <row r="40" ht="22" customHeight="1">
      <c r="A40" s="217" t="inlineStr">
        <is>
          <t>• Plantas doentes devem ser removidas imediatamente — representam energia estagnada.</t>
        </is>
      </c>
      <c r="B40" s="3" t="n"/>
      <c r="C40" s="3" t="n"/>
      <c r="D40" s="3" t="n"/>
      <c r="E40" s="3" t="n"/>
      <c r="F40" s="3" t="n"/>
      <c r="G40" s="3" t="n"/>
      <c r="H40" s="4" t="n"/>
    </row>
    <row r="41" ht="22" customHeight="1">
      <c r="A41" s="217" t="inlineStr">
        <is>
          <t>• Espelhos: NUNCA de frente para a porta de entrada ou refletindo a cama.</t>
        </is>
      </c>
      <c r="B41" s="3" t="n"/>
      <c r="C41" s="3" t="n"/>
      <c r="D41" s="3" t="n"/>
      <c r="E41" s="3" t="n"/>
      <c r="F41" s="3" t="n"/>
      <c r="G41" s="3" t="n"/>
      <c r="H41" s="4" t="n"/>
    </row>
    <row r="42">
      <c r="A42" s="217" t="inlineStr">
        <is>
          <t>• Renove os rituais a cada 9 semanas para manter a energia ativa e crescente.</t>
        </is>
      </c>
      <c r="B42" s="3" t="n"/>
      <c r="C42" s="3" t="n"/>
      <c r="D42" s="3" t="n"/>
      <c r="E42" s="3" t="n"/>
      <c r="F42" s="3" t="n"/>
      <c r="G42" s="3" t="n"/>
      <c r="H42" s="4" t="n"/>
    </row>
  </sheetData>
  <mergeCells count="46">
    <mergeCell ref="E26:H26"/>
    <mergeCell ref="A39:H39"/>
    <mergeCell ref="A15:B15"/>
    <mergeCell ref="B9:H9"/>
    <mergeCell ref="C15:D15"/>
    <mergeCell ref="C14:D14"/>
    <mergeCell ref="A36:H36"/>
    <mergeCell ref="E14:F14"/>
    <mergeCell ref="E25:H25"/>
    <mergeCell ref="E17:F17"/>
    <mergeCell ref="E32:H32"/>
    <mergeCell ref="A1:H3"/>
    <mergeCell ref="A6:H6"/>
    <mergeCell ref="B10:D10"/>
    <mergeCell ref="A16:B16"/>
    <mergeCell ref="C16:D16"/>
    <mergeCell ref="E19:F19"/>
    <mergeCell ref="A41:H41"/>
    <mergeCell ref="A18:B18"/>
    <mergeCell ref="E33:H33"/>
    <mergeCell ref="A37:H37"/>
    <mergeCell ref="E24:H24"/>
    <mergeCell ref="E8:H8"/>
    <mergeCell ref="E15:F15"/>
    <mergeCell ref="B21:H21"/>
    <mergeCell ref="A14:B14"/>
    <mergeCell ref="E29:H29"/>
    <mergeCell ref="A17:B17"/>
    <mergeCell ref="A23:H23"/>
    <mergeCell ref="B7:D7"/>
    <mergeCell ref="C17:D17"/>
    <mergeCell ref="A5:H5"/>
    <mergeCell ref="E28:H28"/>
    <mergeCell ref="A4:H4"/>
    <mergeCell ref="E16:F16"/>
    <mergeCell ref="E31:H31"/>
    <mergeCell ref="A19:B19"/>
    <mergeCell ref="A38:H38"/>
    <mergeCell ref="C19:D19"/>
    <mergeCell ref="E30:H30"/>
    <mergeCell ref="A13:H13"/>
    <mergeCell ref="C18:D18"/>
    <mergeCell ref="E11:H11"/>
    <mergeCell ref="E18:F18"/>
    <mergeCell ref="E27:H27"/>
    <mergeCell ref="A40:H40"/>
  </mergeCells>
  <conditionalFormatting sqref="A15">
    <cfRule type="cellIs" priority="1" operator="lessThan" dxfId="0">
      <formula>0.4</formula>
    </cfRule>
    <cfRule type="cellIs" priority="2" operator="between" dxfId="1">
      <formula>0.4</formula>
      <formula>0.599</formula>
    </cfRule>
    <cfRule type="cellIs" priority="3" operator="between" dxfId="2">
      <formula>0.6</formula>
      <formula>0.799</formula>
    </cfRule>
    <cfRule type="cellIs" priority="4" operator="greaterThanOrEqual" dxfId="3">
      <formula>0.8</formula>
    </cfRule>
  </conditionalFormatting>
  <conditionalFormatting sqref="C15">
    <cfRule type="cellIs" priority="5" operator="lessThan" dxfId="0">
      <formula>0.4</formula>
    </cfRule>
    <cfRule type="cellIs" priority="6" operator="between" dxfId="1">
      <formula>0.4</formula>
      <formula>0.599</formula>
    </cfRule>
    <cfRule type="cellIs" priority="7" operator="between" dxfId="2">
      <formula>0.6</formula>
      <formula>0.799</formula>
    </cfRule>
    <cfRule type="cellIs" priority="8" operator="greaterThanOrEqual" dxfId="3">
      <formula>0.8</formula>
    </cfRule>
  </conditionalFormatting>
  <conditionalFormatting sqref="E15">
    <cfRule type="cellIs" priority="9" operator="lessThan" dxfId="0">
      <formula>0.4</formula>
    </cfRule>
    <cfRule type="cellIs" priority="10" operator="between" dxfId="1">
      <formula>0.4</formula>
      <formula>0.599</formula>
    </cfRule>
    <cfRule type="cellIs" priority="11" operator="between" dxfId="2">
      <formula>0.6</formula>
      <formula>0.799</formula>
    </cfRule>
    <cfRule type="cellIs" priority="12" operator="greaterThanOrEqual" dxfId="3">
      <formula>0.8</formula>
    </cfRule>
  </conditionalFormatting>
  <conditionalFormatting sqref="G15">
    <cfRule type="cellIs" priority="13" operator="lessThan" dxfId="0">
      <formula>0.4</formula>
    </cfRule>
    <cfRule type="cellIs" priority="14" operator="between" dxfId="1">
      <formula>0.4</formula>
      <formula>0.599</formula>
    </cfRule>
    <cfRule type="cellIs" priority="15" operator="between" dxfId="2">
      <formula>0.6</formula>
      <formula>0.799</formula>
    </cfRule>
    <cfRule type="cellIs" priority="16" operator="greaterThanOrEqual" dxfId="3">
      <formula>0.8</formula>
    </cfRule>
  </conditionalFormatting>
  <conditionalFormatting sqref="A17">
    <cfRule type="cellIs" priority="17" operator="lessThan" dxfId="0">
      <formula>0.4</formula>
    </cfRule>
    <cfRule type="cellIs" priority="18" operator="between" dxfId="1">
      <formula>0.4</formula>
      <formula>0.599</formula>
    </cfRule>
    <cfRule type="cellIs" priority="19" operator="between" dxfId="2">
      <formula>0.6</formula>
      <formula>0.799</formula>
    </cfRule>
    <cfRule type="cellIs" priority="20" operator="greaterThanOrEqual" dxfId="3">
      <formula>0.8</formula>
    </cfRule>
  </conditionalFormatting>
  <conditionalFormatting sqref="C17">
    <cfRule type="cellIs" priority="21" operator="lessThan" dxfId="0">
      <formula>0.4</formula>
    </cfRule>
    <cfRule type="cellIs" priority="22" operator="between" dxfId="1">
      <formula>0.4</formula>
      <formula>0.599</formula>
    </cfRule>
    <cfRule type="cellIs" priority="23" operator="between" dxfId="2">
      <formula>0.6</formula>
      <formula>0.799</formula>
    </cfRule>
    <cfRule type="cellIs" priority="24" operator="greaterThanOrEqual" dxfId="3">
      <formula>0.8</formula>
    </cfRule>
  </conditionalFormatting>
  <conditionalFormatting sqref="E17">
    <cfRule type="cellIs" priority="25" operator="lessThan" dxfId="0">
      <formula>0.4</formula>
    </cfRule>
    <cfRule type="cellIs" priority="26" operator="between" dxfId="1">
      <formula>0.4</formula>
      <formula>0.599</formula>
    </cfRule>
    <cfRule type="cellIs" priority="27" operator="between" dxfId="2">
      <formula>0.6</formula>
      <formula>0.799</formula>
    </cfRule>
    <cfRule type="cellIs" priority="28" operator="greaterThanOrEqual" dxfId="3">
      <formula>0.8</formula>
    </cfRule>
  </conditionalFormatting>
  <conditionalFormatting sqref="G17">
    <cfRule type="cellIs" priority="29" operator="lessThan" dxfId="0">
      <formula>0.4</formula>
    </cfRule>
    <cfRule type="cellIs" priority="30" operator="between" dxfId="1">
      <formula>0.4</formula>
      <formula>0.599</formula>
    </cfRule>
    <cfRule type="cellIs" priority="31" operator="between" dxfId="2">
      <formula>0.6</formula>
      <formula>0.799</formula>
    </cfRule>
    <cfRule type="cellIs" priority="32" operator="greaterThanOrEqual" dxfId="3">
      <formula>0.8</formula>
    </cfRule>
  </conditionalFormatting>
  <conditionalFormatting sqref="A19">
    <cfRule type="cellIs" priority="33" operator="lessThan" dxfId="0">
      <formula>0.4</formula>
    </cfRule>
    <cfRule type="cellIs" priority="34" operator="between" dxfId="1">
      <formula>0.4</formula>
      <formula>0.599</formula>
    </cfRule>
    <cfRule type="cellIs" priority="35" operator="between" dxfId="2">
      <formula>0.6</formula>
      <formula>0.799</formula>
    </cfRule>
    <cfRule type="cellIs" priority="36" operator="greaterThanOrEqual" dxfId="3">
      <formula>0.8</formula>
    </cfRule>
  </conditionalFormatting>
  <conditionalFormatting sqref="C19">
    <cfRule type="cellIs" priority="37" operator="lessThan" dxfId="0">
      <formula>0.4</formula>
    </cfRule>
    <cfRule type="cellIs" priority="38" operator="between" dxfId="1">
      <formula>0.4</formula>
      <formula>0.599</formula>
    </cfRule>
    <cfRule type="cellIs" priority="39" operator="between" dxfId="2">
      <formula>0.6</formula>
      <formula>0.799</formula>
    </cfRule>
    <cfRule type="cellIs" priority="40" operator="greaterThanOrEqual" dxfId="3">
      <formula>0.8</formula>
    </cfRule>
  </conditionalFormatting>
  <conditionalFormatting sqref="E19">
    <cfRule type="cellIs" priority="41" operator="lessThan" dxfId="0">
      <formula>0.4</formula>
    </cfRule>
    <cfRule type="cellIs" priority="42" operator="between" dxfId="1">
      <formula>0.4</formula>
      <formula>0.599</formula>
    </cfRule>
    <cfRule type="cellIs" priority="43" operator="between" dxfId="2">
      <formula>0.6</formula>
      <formula>0.799</formula>
    </cfRule>
    <cfRule type="cellIs" priority="44" operator="greaterThanOrEqual" dxfId="3">
      <formula>0.8</formula>
    </cfRule>
  </conditionalFormatting>
  <conditionalFormatting sqref="G19">
    <cfRule type="cellIs" priority="45" operator="lessThan" dxfId="0">
      <formula>0.4</formula>
    </cfRule>
    <cfRule type="cellIs" priority="46" operator="between" dxfId="1">
      <formula>0.4</formula>
      <formula>0.599</formula>
    </cfRule>
    <cfRule type="cellIs" priority="47" operator="between" dxfId="2">
      <formula>0.6</formula>
      <formula>0.799</formula>
    </cfRule>
    <cfRule type="cellIs" priority="48" operator="greaterThanOrEqual" dxfId="3">
      <formula>0.8</formula>
    </cfRule>
  </conditionalFormatting>
  <conditionalFormatting sqref="C25:C33">
    <cfRule type="cellIs" priority="49" operator="lessThan" dxfId="0">
      <formula>0.4</formula>
    </cfRule>
    <cfRule type="cellIs" priority="50" operator="between" dxfId="1">
      <formula>0.4</formula>
      <formula>0.599</formula>
    </cfRule>
    <cfRule type="cellIs" priority="51" operator="between" dxfId="2">
      <formula>0.6</formula>
      <formula>0.799</formula>
    </cfRule>
    <cfRule type="cellIs" priority="52" operator="greaterThanOrEqual" dxfId="3">
      <formula>0.8</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39"/>
  <sheetViews>
    <sheetView showGridLines="0" workbookViewId="0">
      <selection activeCell="A1" sqref="A1"/>
    </sheetView>
  </sheetViews>
  <sheetFormatPr baseColWidth="8" defaultRowHeight="15"/>
  <cols>
    <col width="120" customWidth="1" min="1" max="1"/>
    <col width="20" customWidth="1" min="2" max="2"/>
    <col width="20" customWidth="1" min="3" max="3"/>
    <col width="20" customWidth="1" min="4" max="4"/>
  </cols>
  <sheetData>
    <row r="1" ht="30" customHeight="1">
      <c r="A1" s="350" t="inlineStr">
        <is>
          <t>⚙️  GOOGLE APPS SCRIPT — 5 Macros Automáticas</t>
        </is>
      </c>
    </row>
    <row r="2" ht="10" customHeight="1"/>
    <row r="3" ht="22" customHeight="1">
      <c r="A3" s="351" t="inlineStr">
        <is>
          <t>📌  Cole TODO o código abaixo em: Google Sheets → Extensões → Apps Script → Novo projeto → Substituir tudo → Salvar</t>
        </is>
      </c>
    </row>
    <row r="4" ht="26" customHeight="1">
      <c r="A4" s="352" t="inlineStr">
        <is>
          <t>📋 ÍNDICE DAS MACROS</t>
        </is>
      </c>
      <c r="B4" s="13" t="n"/>
      <c r="C4" s="13" t="n"/>
      <c r="D4" s="14" t="n"/>
    </row>
    <row r="5" ht="26" customHeight="1">
      <c r="A5" s="353" t="inlineStr">
        <is>
          <t>💻 CÓDIGO COMPLETO — Copie tudo abaixo e cole no Apps Script</t>
        </is>
      </c>
      <c r="B5" s="75" t="n"/>
      <c r="C5" s="75" t="n"/>
      <c r="D5" s="76" t="n"/>
    </row>
    <row r="6" ht="20" customHeight="1">
      <c r="A6" s="354" t="inlineStr">
        <is>
          <t>Como instalar: Google Sheets → Extensões → Apps Script → selecionar tudo → colar → 💾 Salvar → ▶ Executar onOpen</t>
        </is>
      </c>
      <c r="B6" s="4" t="n"/>
      <c r="C6" s="3" t="n"/>
      <c r="D6" s="4" t="n"/>
    </row>
    <row r="7" ht="14" customHeight="1">
      <c r="A7" s="359" t="inlineStr">
        <is>
          <t>// ================================================================</t>
        </is>
      </c>
      <c r="B7" s="360" t="n"/>
      <c r="C7" s="361" t="n"/>
      <c r="D7" s="360" t="n"/>
    </row>
    <row r="8" ht="14" customHeight="1">
      <c r="A8" s="359" t="inlineStr">
        <is>
          <t>// FENG SHUI CHAPÉU PRETO — Sistema do Consultor</t>
        </is>
      </c>
      <c r="B8" s="361" t="n"/>
      <c r="C8" s="361" t="n"/>
      <c r="D8" s="360" t="n"/>
    </row>
    <row r="9" ht="14" customHeight="1">
      <c r="A9" s="359" t="inlineStr">
        <is>
          <t>// Google Apps Script — v3.2</t>
        </is>
      </c>
      <c r="B9" s="360" t="n"/>
      <c r="C9" s="361" t="n"/>
      <c r="D9" s="360" t="n"/>
    </row>
    <row r="10" ht="14" customHeight="1">
      <c r="A10" s="359" t="inlineStr">
        <is>
          <t>// Cole este código inteiro no editor do Apps Script</t>
        </is>
      </c>
      <c r="B10" s="361" t="n"/>
      <c r="C10" s="361" t="n"/>
      <c r="D10" s="360" t="n"/>
    </row>
    <row r="11" ht="14" customHeight="1">
      <c r="A11" s="355" t="inlineStr">
        <is>
          <t>// ================================================================</t>
        </is>
      </c>
      <c r="D11" s="362" t="n"/>
    </row>
    <row r="12" ht="14" customHeight="1">
      <c r="A12" s="355" t="inlineStr"/>
      <c r="D12" s="362" t="n"/>
    </row>
    <row r="13" ht="14" customHeight="1">
      <c r="A13" s="355" t="inlineStr">
        <is>
          <t>// ── CONFIGURAÇÕES (ajuste conforme necessário) ───────────────</t>
        </is>
      </c>
      <c r="D13" s="362" t="n"/>
    </row>
    <row r="14" ht="14" customHeight="1">
      <c r="A14" s="355" t="inlineStr">
        <is>
          <t>var CONFIG = {</t>
        </is>
      </c>
      <c r="D14" s="362" t="n"/>
    </row>
    <row r="15" ht="14" customHeight="1">
      <c r="A15" s="355" t="inlineStr">
        <is>
          <t xml:space="preserve">  nomePastaDrive:    "Feng Shui — Relatorios",</t>
        </is>
      </c>
      <c r="D15" s="362" t="n"/>
    </row>
    <row r="16" ht="14" customHeight="1">
      <c r="A16" s="355" t="inlineStr">
        <is>
          <t xml:space="preserve">  abaRelatorio:      "📄 Relatório",</t>
        </is>
      </c>
      <c r="D16" s="362" t="n"/>
    </row>
    <row r="17" ht="14" customHeight="1">
      <c r="A17" s="355" t="inlineStr">
        <is>
          <t xml:space="preserve">  abaCliente:        "👤 Cliente",</t>
        </is>
      </c>
      <c r="D17" s="362" t="n"/>
    </row>
    <row r="18" ht="14" customHeight="1">
      <c r="A18" s="355" t="inlineStr">
        <is>
          <t xml:space="preserve">  abaDiagnostico:    "🔍 Diagnóstico",</t>
        </is>
      </c>
      <c r="D18" s="362" t="n"/>
    </row>
    <row r="19" ht="14" customHeight="1">
      <c r="A19" s="355" t="inlineStr">
        <is>
          <t xml:space="preserve">  abaHistorico:      "📊 Histórico",   // criada automaticamente</t>
        </is>
      </c>
      <c r="D19" s="362" t="n"/>
    </row>
    <row r="20" ht="14" customHeight="1">
      <c r="A20" s="355" t="inlineStr">
        <is>
          <t xml:space="preserve">  senhaProtecao:     "fengshui2026",</t>
        </is>
      </c>
      <c r="D20" s="362" t="n"/>
    </row>
    <row r="21" ht="14" customHeight="1">
      <c r="A21" s="355" t="inlineStr">
        <is>
          <t xml:space="preserve">  // Células de input do cliente (linha após insert_rows):</t>
        </is>
      </c>
      <c r="D21" s="362" t="n"/>
    </row>
    <row r="22" ht="14" customHeight="1">
      <c r="A22" s="355" t="inlineStr">
        <is>
          <t xml:space="preserve">  celulaCliente:     "B4",   // Nome do cliente</t>
        </is>
      </c>
      <c r="D22" s="362" t="n"/>
    </row>
    <row r="23" ht="14" customHeight="1">
      <c r="A23" s="355" t="inlineStr">
        <is>
          <t xml:space="preserve">  celulaTelefone:    "E6",   // WhatsApp do cliente</t>
        </is>
      </c>
      <c r="D23" s="362" t="n"/>
    </row>
    <row r="24" ht="14" customHeight="1">
      <c r="A24" s="355" t="inlineStr">
        <is>
          <t xml:space="preserve">  celulaDataConsulta:"E7",   // Data da consulta</t>
        </is>
      </c>
      <c r="D24" s="362" t="n"/>
    </row>
    <row r="25" ht="14" customHeight="1">
      <c r="A25" s="355" t="inlineStr">
        <is>
          <t xml:space="preserve">  celulaEndereco:    "B10",  // Endereço</t>
        </is>
      </c>
      <c r="D25" s="362" t="n"/>
    </row>
    <row r="26" ht="14" customHeight="1">
      <c r="A26" s="355" t="inlineStr">
        <is>
          <t xml:space="preserve">  celulaConsultor:   "B5",   // Nome do consultor</t>
        </is>
      </c>
      <c r="D26" s="362" t="n"/>
    </row>
    <row r="27" ht="14" customHeight="1">
      <c r="A27" s="355" t="inlineStr">
        <is>
          <t>};</t>
        </is>
      </c>
      <c r="D27" s="362" t="n"/>
    </row>
    <row r="28" ht="14" customHeight="1">
      <c r="A28" s="355" t="inlineStr"/>
      <c r="D28" s="362" t="n"/>
    </row>
    <row r="29" ht="14" customHeight="1">
      <c r="A29" s="355" t="inlineStr">
        <is>
          <t>// Nomes e células dos scores (Score Energético col F)</t>
        </is>
      </c>
      <c r="D29" s="362" t="n"/>
    </row>
    <row r="30" ht="14" customHeight="1">
      <c r="A30" s="355" t="inlineStr">
        <is>
          <t>var SCORES_MAP = {</t>
        </is>
      </c>
      <c r="D30" s="362" t="n"/>
    </row>
    <row r="31" ht="14" customHeight="1">
      <c r="A31" s="355" t="inlineStr">
        <is>
          <t xml:space="preserve">  "Prosperidade":    "F3",</t>
        </is>
      </c>
      <c r="D31" s="362" t="n"/>
    </row>
    <row r="32" ht="14" customHeight="1">
      <c r="A32" s="355" t="inlineStr">
        <is>
          <t xml:space="preserve">  "Fama":            "F4",</t>
        </is>
      </c>
      <c r="D32" s="362" t="n"/>
    </row>
    <row r="33" ht="14" customHeight="1">
      <c r="A33" s="355" t="inlineStr">
        <is>
          <t xml:space="preserve">  "Relacionamentos": "F5",</t>
        </is>
      </c>
      <c r="D33" s="362" t="n"/>
    </row>
    <row r="34" ht="14" customHeight="1">
      <c r="A34" s="355" t="inlineStr">
        <is>
          <t xml:space="preserve">  "Família":         "F6",</t>
        </is>
      </c>
      <c r="D34" s="362" t="n"/>
    </row>
    <row r="35" ht="14" customHeight="1">
      <c r="A35" s="355" t="inlineStr">
        <is>
          <t xml:space="preserve">  "Saúde":           "F7",</t>
        </is>
      </c>
      <c r="D35" s="362" t="n"/>
    </row>
    <row r="36" ht="14" customHeight="1">
      <c r="A36" s="355" t="inlineStr">
        <is>
          <t xml:space="preserve">  "Criatividade":    "F8",</t>
        </is>
      </c>
      <c r="D36" s="362" t="n"/>
    </row>
    <row r="37" ht="14" customHeight="1">
      <c r="A37" s="355" t="inlineStr">
        <is>
          <t xml:space="preserve">  "Conhecimento":    "F9",</t>
        </is>
      </c>
      <c r="D37" s="362" t="n"/>
    </row>
    <row r="38" ht="14" customHeight="1">
      <c r="A38" s="355" t="inlineStr">
        <is>
          <t xml:space="preserve">  "Carreira":        "F10",</t>
        </is>
      </c>
      <c r="D38" s="362" t="n"/>
    </row>
    <row r="39" ht="14" customHeight="1">
      <c r="A39" s="355" t="inlineStr">
        <is>
          <t xml:space="preserve">  "Ajudantes":       "F11",</t>
        </is>
      </c>
      <c r="D39" s="362" t="n"/>
    </row>
    <row r="40" ht="14" customHeight="1">
      <c r="A40" s="355" t="inlineStr">
        <is>
          <t>};</t>
        </is>
      </c>
      <c r="D40" s="362" t="n"/>
    </row>
    <row r="41" ht="14" customHeight="1">
      <c r="A41" s="355" t="inlineStr"/>
      <c r="D41" s="362" t="n"/>
    </row>
    <row r="42" ht="14" customHeight="1">
      <c r="A42" s="355" t="inlineStr">
        <is>
          <t>// ================================================================</t>
        </is>
      </c>
      <c r="D42" s="362" t="n"/>
    </row>
    <row r="43" ht="14" customHeight="1">
      <c r="A43" s="355" t="inlineStr">
        <is>
          <t>// 1️⃣  gerarPDF() — Gera PDF e salva no Google Drive</t>
        </is>
      </c>
      <c r="D43" s="362" t="n"/>
    </row>
    <row r="44" ht="14" customHeight="1">
      <c r="A44" s="355" t="inlineStr">
        <is>
          <t>// ================================================================</t>
        </is>
      </c>
      <c r="D44" s="362" t="n"/>
    </row>
    <row r="45" ht="14" customHeight="1">
      <c r="A45" s="355" t="inlineStr">
        <is>
          <t>function gerarPDF() {</t>
        </is>
      </c>
      <c r="D45" s="362" t="n"/>
    </row>
    <row r="46" ht="14" customHeight="1">
      <c r="A46" s="355" t="inlineStr">
        <is>
          <t xml:space="preserve">  // Validar antes de gerar</t>
        </is>
      </c>
      <c r="D46" s="362" t="n"/>
    </row>
    <row r="47" ht="14" customHeight="1">
      <c r="A47" s="355" t="inlineStr">
        <is>
          <t xml:space="preserve">  var validacao = validarPreenchimento(true); // true = silencioso</t>
        </is>
      </c>
      <c r="D47" s="362" t="n"/>
    </row>
    <row r="48" ht="14" customHeight="1">
      <c r="A48" s="355" t="inlineStr">
        <is>
          <t xml:space="preserve">  if (!validacao.ok) {</t>
        </is>
      </c>
      <c r="D48" s="362" t="n"/>
    </row>
    <row r="49" ht="14" customHeight="1">
      <c r="A49" s="355" t="inlineStr">
        <is>
          <t xml:space="preserve">    var ui = SpreadsheetApp.getUi();</t>
        </is>
      </c>
      <c r="D49" s="362" t="n"/>
    </row>
    <row r="50" ht="14" customHeight="1">
      <c r="A50" s="355" t="inlineStr">
        <is>
          <t xml:space="preserve">    var resp = ui.alert(</t>
        </is>
      </c>
      <c r="D50" s="362" t="n"/>
    </row>
    <row r="51" ht="14" customHeight="1">
      <c r="A51" s="355" t="inlineStr">
        <is>
          <t xml:space="preserve">      "⚠️ Campos incompletos",</t>
        </is>
      </c>
      <c r="D51" s="362" t="n"/>
    </row>
    <row r="52" ht="14" customHeight="1">
      <c r="A52" s="355" t="inlineStr">
        <is>
          <t xml:space="preserve">      "Alguns campos obrigatórios estão vazios:\\n\\n" +</t>
        </is>
      </c>
      <c r="D52" s="362" t="n"/>
    </row>
    <row r="53" ht="14" customHeight="1">
      <c r="A53" s="355" t="inlineStr">
        <is>
          <t xml:space="preserve">      validacao.problemas.join("\\n") +</t>
        </is>
      </c>
      <c r="D53" s="362" t="n"/>
    </row>
    <row r="54" ht="14" customHeight="1">
      <c r="A54" s="355" t="inlineStr">
        <is>
          <t xml:space="preserve">      "\\n\\nDeseja gerar o PDF mesmo assim?",</t>
        </is>
      </c>
      <c r="D54" s="362" t="n"/>
    </row>
    <row r="55" ht="14" customHeight="1">
      <c r="A55" s="355" t="inlineStr">
        <is>
          <t xml:space="preserve">      ui.ButtonSet.YES_NO</t>
        </is>
      </c>
      <c r="D55" s="362" t="n"/>
    </row>
    <row r="56" ht="14" customHeight="1">
      <c r="A56" s="355" t="inlineStr">
        <is>
          <t xml:space="preserve">    );</t>
        </is>
      </c>
      <c r="D56" s="362" t="n"/>
    </row>
    <row r="57" ht="14" customHeight="1">
      <c r="A57" s="355" t="inlineStr">
        <is>
          <t xml:space="preserve">    if (resp !== ui.Button.YES) return;</t>
        </is>
      </c>
      <c r="D57" s="362" t="n"/>
    </row>
    <row r="58" ht="14" customHeight="1">
      <c r="A58" s="355" t="inlineStr">
        <is>
          <t xml:space="preserve">  }</t>
        </is>
      </c>
      <c r="D58" s="362" t="n"/>
    </row>
    <row r="59" ht="14" customHeight="1">
      <c r="A59" s="355" t="inlineStr"/>
      <c r="D59" s="362" t="n"/>
    </row>
    <row r="60" ht="14" customHeight="1">
      <c r="A60" s="355" t="inlineStr">
        <is>
          <t xml:space="preserve">  var ss    = SpreadsheetApp.getActiveSpreadsheet();</t>
        </is>
      </c>
      <c r="D60" s="362" t="n"/>
    </row>
    <row r="61" ht="14" customHeight="1">
      <c r="A61" s="355" t="inlineStr">
        <is>
          <t xml:space="preserve">  var sheet = ss.getSheetByName(CONFIG.abaRelatorio);</t>
        </is>
      </c>
      <c r="D61" s="362" t="n"/>
    </row>
    <row r="62" ht="14" customHeight="1">
      <c r="A62" s="355" t="inlineStr">
        <is>
          <t xml:space="preserve">  var abaCliente = ss.getSheetByName(CONFIG.abaCliente);</t>
        </is>
      </c>
      <c r="D62" s="362" t="n"/>
    </row>
    <row r="63" ht="14" customHeight="1">
      <c r="A63" s="355" t="inlineStr"/>
      <c r="D63" s="362" t="n"/>
    </row>
    <row r="64" ht="14" customHeight="1">
      <c r="A64" s="355" t="inlineStr">
        <is>
          <t xml:space="preserve">  var nomeCliente   = abaCliente.getRange(CONFIG.celulaCliente).getValue()    || "Cliente";</t>
        </is>
      </c>
      <c r="D64" s="362" t="n"/>
    </row>
    <row r="65" ht="14" customHeight="1">
      <c r="A65" s="355" t="inlineStr">
        <is>
          <t xml:space="preserve">  var dataConsulta  = Utilities.formatDate(new Date(), Session.getScriptTimeZone(), "dd-MM-yyyy");</t>
        </is>
      </c>
      <c r="D65" s="362" t="n"/>
    </row>
    <row r="66" ht="14" customHeight="1">
      <c r="A66" s="355" t="inlineStr">
        <is>
          <t xml:space="preserve">  var nomeArquivo   = "FengShui_" + nomeCliente.replace(/\s+/g,"_") + "_" + dataConsulta + ".pdf";</t>
        </is>
      </c>
      <c r="D66" s="362" t="n"/>
    </row>
    <row r="67" ht="14" customHeight="1">
      <c r="A67" s="355" t="inlineStr"/>
      <c r="D67" s="362" t="n"/>
    </row>
    <row r="68" ht="14" customHeight="1">
      <c r="A68" s="355" t="inlineStr">
        <is>
          <t xml:space="preserve">  var url = ss.getUrl().replace(/edit.*$/, "") +</t>
        </is>
      </c>
      <c r="D68" s="362" t="n"/>
    </row>
    <row r="69" ht="14" customHeight="1">
      <c r="A69" s="355" t="inlineStr">
        <is>
          <t xml:space="preserve">    "export?exportFormat=pdf&amp;format=pdf" +</t>
        </is>
      </c>
      <c r="D69" s="362" t="n"/>
    </row>
    <row r="70" ht="14" customHeight="1">
      <c r="A70" s="355" t="inlineStr">
        <is>
          <t xml:space="preserve">    "&amp;size=A4&amp;portrait=true&amp;fitw=true" +</t>
        </is>
      </c>
      <c r="D70" s="362" t="n"/>
    </row>
    <row r="71" ht="14" customHeight="1">
      <c r="A71" s="355" t="inlineStr">
        <is>
          <t xml:space="preserve">    "&amp;sheetnames=false&amp;printtitle=false" +</t>
        </is>
      </c>
      <c r="D71" s="362" t="n"/>
    </row>
    <row r="72" ht="14" customHeight="1">
      <c r="A72" s="355" t="inlineStr">
        <is>
          <t xml:space="preserve">    "&amp;pagenumbers=false&amp;gridlines=false&amp;fzr=false" +</t>
        </is>
      </c>
      <c r="D72" s="362" t="n"/>
    </row>
    <row r="73" ht="14" customHeight="1">
      <c r="A73" s="355" t="inlineStr">
        <is>
          <t xml:space="preserve">    "&amp;gid=" + sheet.getSheetId();</t>
        </is>
      </c>
      <c r="D73" s="362" t="n"/>
    </row>
    <row r="74" ht="14" customHeight="1">
      <c r="A74" s="355" t="inlineStr"/>
      <c r="D74" s="362" t="n"/>
    </row>
    <row r="75" ht="14" customHeight="1">
      <c r="A75" s="355" t="inlineStr">
        <is>
          <t xml:space="preserve">  var token    = ScriptApp.getOAuthToken();</t>
        </is>
      </c>
      <c r="D75" s="362" t="n"/>
    </row>
    <row r="76" ht="14" customHeight="1">
      <c r="A76" s="355" t="inlineStr">
        <is>
          <t xml:space="preserve">  var response = UrlFetchApp.fetch(url, { headers: { "Authorization": "Bearer " + token } });</t>
        </is>
      </c>
      <c r="D76" s="362" t="n"/>
    </row>
    <row r="77" ht="14" customHeight="1">
      <c r="A77" s="355" t="inlineStr">
        <is>
          <t xml:space="preserve">  var pdfBlob  = response.getBlob().setName(nomeArquivo);</t>
        </is>
      </c>
      <c r="D77" s="362" t="n"/>
    </row>
    <row r="78" ht="14" customHeight="1">
      <c r="A78" s="355" t="inlineStr"/>
      <c r="D78" s="362" t="n"/>
    </row>
    <row r="79" ht="14" customHeight="1">
      <c r="A79" s="355" t="inlineStr">
        <is>
          <t xml:space="preserve">  // Salvar no Drive</t>
        </is>
      </c>
      <c r="D79" s="362" t="n"/>
    </row>
    <row r="80" ht="14" customHeight="1">
      <c r="A80" s="355" t="inlineStr">
        <is>
          <t xml:space="preserve">  var pastas = DriveApp.getFoldersByName(CONFIG.nomePastaDrive);</t>
        </is>
      </c>
      <c r="D80" s="362" t="n"/>
    </row>
    <row r="81" ht="14" customHeight="1">
      <c r="A81" s="355" t="inlineStr">
        <is>
          <t xml:space="preserve">  var folder = pastas.hasNext() ? pastas.next() : DriveApp.createFolder(CONFIG.nomePastaDrive);</t>
        </is>
      </c>
      <c r="D81" s="362" t="n"/>
    </row>
    <row r="82" ht="14" customHeight="1">
      <c r="A82" s="355" t="inlineStr">
        <is>
          <t xml:space="preserve">  var arquivo = folder.createFile(pdfBlob);</t>
        </is>
      </c>
      <c r="D82" s="362" t="n"/>
    </row>
    <row r="83" ht="14" customHeight="1">
      <c r="A83" s="355" t="inlineStr">
        <is>
          <t xml:space="preserve">  arquivo.setSharing(DriveApp.Access.ANYONE_WITH_LINK, DriveApp.Permission.VIEW);</t>
        </is>
      </c>
      <c r="D83" s="362" t="n"/>
    </row>
    <row r="84" ht="14" customHeight="1">
      <c r="A84" s="355" t="inlineStr">
        <is>
          <t xml:space="preserve">  var linkPDF = arquivo.getUrl();</t>
        </is>
      </c>
      <c r="D84" s="362" t="n"/>
    </row>
    <row r="85" ht="14" customHeight="1">
      <c r="A85" s="355" t="inlineStr"/>
      <c r="D85" s="362" t="n"/>
    </row>
    <row r="86" ht="14" customHeight="1">
      <c r="A86" s="355" t="inlineStr">
        <is>
          <t xml:space="preserve">  // Guardar link para uso no WhatsApp</t>
        </is>
      </c>
      <c r="D86" s="362" t="n"/>
    </row>
    <row r="87" ht="14" customHeight="1">
      <c r="A87" s="355" t="inlineStr">
        <is>
          <t xml:space="preserve">  PropertiesService.getScriptProperties().setProperty("ultimoLinkPDF", linkPDF);</t>
        </is>
      </c>
      <c r="D87" s="362" t="n"/>
    </row>
    <row r="88" ht="14" customHeight="1">
      <c r="A88" s="355" t="inlineStr">
        <is>
          <t xml:space="preserve">  PropertiesService.getScriptProperties().setProperty("ultimoCliente", nomeCliente);</t>
        </is>
      </c>
      <c r="D88" s="362" t="n"/>
    </row>
    <row r="89" ht="14" customHeight="1">
      <c r="A89" s="355" t="inlineStr"/>
      <c r="D89" s="362" t="n"/>
    </row>
    <row r="90" ht="14" customHeight="1">
      <c r="A90" s="355" t="inlineStr">
        <is>
          <t xml:space="preserve">  SpreadsheetApp.getUi().alert(</t>
        </is>
      </c>
      <c r="D90" s="362" t="n"/>
    </row>
    <row r="91" ht="14" customHeight="1">
      <c r="A91" s="355" t="inlineStr">
        <is>
          <t xml:space="preserve">    "✅ PDF Gerado com Sucesso!",</t>
        </is>
      </c>
      <c r="D91" s="362" t="n"/>
    </row>
    <row r="92" ht="14" customHeight="1">
      <c r="A92" s="355" t="inlineStr">
        <is>
          <t xml:space="preserve">    "Arquivo: " + nomeArquivo +</t>
        </is>
      </c>
      <c r="D92" s="362" t="n"/>
    </row>
    <row r="93" ht="14" customHeight="1">
      <c r="A93" s="355" t="inlineStr">
        <is>
          <t xml:space="preserve">    "\\nSalvo em: " + CONFIG.nomePastaDrive + " (Google Drive)" +</t>
        </is>
      </c>
      <c r="D93" s="362" t="n"/>
    </row>
    <row r="94" ht="14" customHeight="1">
      <c r="A94" s="355" t="inlineStr">
        <is>
          <t xml:space="preserve">    "\\n\\n🔗 Link: " + linkPDF +</t>
        </is>
      </c>
      <c r="D94" s="362" t="n"/>
    </row>
    <row r="95" ht="14" customHeight="1">
      <c r="A95" s="355" t="inlineStr">
        <is>
          <t xml:space="preserve">    "\\n\\n💡 Use 'Enviar por WhatsApp' para compartilhar com o cliente.",</t>
        </is>
      </c>
      <c r="D95" s="362" t="n"/>
    </row>
    <row r="96" ht="14" customHeight="1">
      <c r="A96" s="355" t="inlineStr">
        <is>
          <t xml:space="preserve">    SpreadsheetApp.getUi().ButtonSet.OK</t>
        </is>
      </c>
      <c r="D96" s="362" t="n"/>
    </row>
    <row r="97" ht="14" customHeight="1">
      <c r="A97" s="355" t="inlineStr">
        <is>
          <t xml:space="preserve">  );</t>
        </is>
      </c>
      <c r="D97" s="362" t="n"/>
    </row>
    <row r="98" ht="14" customHeight="1">
      <c r="A98" s="355" t="inlineStr">
        <is>
          <t>}</t>
        </is>
      </c>
      <c r="D98" s="362" t="n"/>
    </row>
    <row r="99" ht="14" customHeight="1">
      <c r="A99" s="355" t="inlineStr"/>
      <c r="D99" s="362" t="n"/>
    </row>
    <row r="100" ht="14" customHeight="1">
      <c r="A100" s="355" t="inlineStr">
        <is>
          <t>// ================================================================</t>
        </is>
      </c>
      <c r="D100" s="362" t="n"/>
    </row>
    <row r="101" ht="14" customHeight="1">
      <c r="A101" s="355" t="inlineStr">
        <is>
          <t>// 2️⃣  limparParaNovaConsulta() — Reseta inputs mantendo estrutura</t>
        </is>
      </c>
      <c r="D101" s="362" t="n"/>
    </row>
    <row r="102" ht="14" customHeight="1">
      <c r="A102" s="355" t="inlineStr">
        <is>
          <t>// ================================================================</t>
        </is>
      </c>
      <c r="D102" s="362" t="n"/>
    </row>
    <row r="103" ht="14" customHeight="1">
      <c r="A103" s="355" t="inlineStr">
        <is>
          <t>function limparParaNovaConsulta() {</t>
        </is>
      </c>
      <c r="D103" s="362" t="n"/>
    </row>
    <row r="104" ht="14" customHeight="1">
      <c r="A104" s="355" t="inlineStr">
        <is>
          <t xml:space="preserve">  var ss = SpreadsheetApp.getActiveSpreadsheet();</t>
        </is>
      </c>
      <c r="D104" s="362" t="n"/>
    </row>
    <row r="105" ht="14" customHeight="1">
      <c r="A105" s="355" t="inlineStr">
        <is>
          <t xml:space="preserve">  var ui = SpreadsheetApp.getUi();</t>
        </is>
      </c>
      <c r="D105" s="362" t="n"/>
    </row>
    <row r="106" ht="14" customHeight="1">
      <c r="A106" s="355" t="inlineStr"/>
      <c r="D106" s="362" t="n"/>
    </row>
    <row r="107" ht="14" customHeight="1">
      <c r="A107" s="355" t="inlineStr">
        <is>
          <t xml:space="preserve">  var resp = ui.alert(</t>
        </is>
      </c>
      <c r="D107" s="362" t="n"/>
    </row>
    <row r="108" ht="14" customHeight="1">
      <c r="A108" s="355" t="inlineStr">
        <is>
          <t xml:space="preserve">    "🗑️ Limpar para nova consulta?",</t>
        </is>
      </c>
      <c r="D108" s="362" t="n"/>
    </row>
    <row r="109" ht="14" customHeight="1">
      <c r="A109" s="355" t="inlineStr">
        <is>
          <t xml:space="preserve">    "Esta ação irá:\\n" +</t>
        </is>
      </c>
      <c r="D109" s="362" t="n"/>
    </row>
    <row r="110" ht="14" customHeight="1">
      <c r="A110" s="355" t="inlineStr">
        <is>
          <t xml:space="preserve">    "• Apagar nome, telefone, endereço e data do cliente\\n" +</t>
        </is>
      </c>
      <c r="D110" s="362" t="n"/>
    </row>
    <row r="111" ht="14" customHeight="1">
      <c r="A111" s="355" t="inlineStr">
        <is>
          <t xml:space="preserve">    "• Zerar todos os scores do Diagnóstico\\n" +</t>
        </is>
      </c>
      <c r="D111" s="362" t="n"/>
    </row>
    <row r="112" ht="14" customHeight="1">
      <c r="A112" s="355" t="inlineStr">
        <is>
          <t xml:space="preserve">    "• Limpar cômodos no Ba Gua\\n" +</t>
        </is>
      </c>
      <c r="D112" s="362" t="n"/>
    </row>
    <row r="113" ht="14" customHeight="1">
      <c r="A113" s="355" t="inlineStr">
        <is>
          <t xml:space="preserve">    "• Limpar observações e notas\\n\\n" +</t>
        </is>
      </c>
      <c r="D113" s="362" t="n"/>
    </row>
    <row r="114" ht="14" customHeight="1">
      <c r="A114" s="355" t="inlineStr">
        <is>
          <t xml:space="preserve">    "⚠️  As fórmulas e a estrutura serão preservadas.\\n\\n" +</t>
        </is>
      </c>
      <c r="D114" s="362" t="n"/>
    </row>
    <row r="115" ht="14" customHeight="1">
      <c r="A115" s="355" t="inlineStr">
        <is>
          <t xml:space="preserve">    "Deseja continuar?",</t>
        </is>
      </c>
      <c r="D115" s="362" t="n"/>
    </row>
    <row r="116" ht="14" customHeight="1">
      <c r="A116" s="355" t="inlineStr">
        <is>
          <t xml:space="preserve">    ui.ButtonSet.YES_NO</t>
        </is>
      </c>
      <c r="D116" s="362" t="n"/>
    </row>
    <row r="117" ht="14" customHeight="1">
      <c r="A117" s="355" t="inlineStr">
        <is>
          <t xml:space="preserve">  );</t>
        </is>
      </c>
      <c r="D117" s="362" t="n"/>
    </row>
    <row r="118" ht="14" customHeight="1">
      <c r="A118" s="355" t="inlineStr">
        <is>
          <t xml:space="preserve">  if (resp !== ui.Button.YES) return;</t>
        </is>
      </c>
      <c r="D118" s="362" t="n"/>
    </row>
    <row r="119" ht="14" customHeight="1">
      <c r="A119" s="355" t="inlineStr"/>
      <c r="D119" s="362" t="n"/>
    </row>
    <row r="120" ht="14" customHeight="1">
      <c r="A120" s="355" t="inlineStr">
        <is>
          <t xml:space="preserve">  // 1. Limpar aba Cliente — campos de input (células brancas)</t>
        </is>
      </c>
      <c r="D120" s="362" t="n"/>
    </row>
    <row r="121" ht="14" customHeight="1">
      <c r="A121" s="355" t="inlineStr">
        <is>
          <t xml:space="preserve">  var wsCliente = ss.getSheetByName(CONFIG.abaCliente);</t>
        </is>
      </c>
      <c r="D121" s="362" t="n"/>
    </row>
    <row r="122" ht="14" customHeight="1">
      <c r="A122" s="355" t="inlineStr">
        <is>
          <t xml:space="preserve">  _limparCelulasInput(wsCliente, ["B4","E4","B5","E5","B6","E6","B7","E7",</t>
        </is>
      </c>
      <c r="D122" s="362" t="n"/>
    </row>
    <row r="123" ht="14" customHeight="1">
      <c r="A123" s="355" t="inlineStr">
        <is>
          <t xml:space="preserve">                                   "B10","B11","E11","B12","E12","B13"]);</t>
        </is>
      </c>
      <c r="D123" s="362" t="n"/>
    </row>
    <row r="124" ht="14" customHeight="1">
      <c r="A124" s="355" t="inlineStr">
        <is>
          <t xml:space="preserve">  // Limpar tabela de moradores (linhas 16-21, colunas A-F)</t>
        </is>
      </c>
      <c r="D124" s="362" t="n"/>
    </row>
    <row r="125" ht="14" customHeight="1">
      <c r="A125" s="355" t="inlineStr">
        <is>
          <t xml:space="preserve">  wsCliente.getRange("A16:F21").clearContent();</t>
        </is>
      </c>
      <c r="D125" s="362" t="n"/>
    </row>
    <row r="126" ht="14" customHeight="1">
      <c r="A126" s="355" t="inlineStr">
        <is>
          <t xml:space="preserve">  // Limpar tabela de intenções (coluna B e D-F das áreas de vida)</t>
        </is>
      </c>
      <c r="D126" s="362" t="n"/>
    </row>
    <row r="127" ht="14" customHeight="1">
      <c r="A127" s="355" t="inlineStr">
        <is>
          <t xml:space="preserve">  wsCliente.getRange("B23:B31").clearContent();</t>
        </is>
      </c>
      <c r="D127" s="362" t="n"/>
    </row>
    <row r="128" ht="14" customHeight="1">
      <c r="A128" s="355" t="inlineStr">
        <is>
          <t xml:space="preserve">  wsCliente.getRange("C23:F31").clearContent();</t>
        </is>
      </c>
      <c r="D128" s="362" t="n"/>
    </row>
    <row r="129" ht="14" customHeight="1">
      <c r="A129" s="355" t="inlineStr"/>
      <c r="D129" s="362" t="n"/>
    </row>
    <row r="130" ht="14" customHeight="1">
      <c r="A130" s="355" t="inlineStr">
        <is>
          <t xml:space="preserve">  // 2. Zerar scores no Diagnóstico — células com valor 0-3 (não fórmulas)</t>
        </is>
      </c>
      <c r="D130" s="362" t="n"/>
    </row>
    <row r="131" ht="14" customHeight="1">
      <c r="A131" s="355" t="inlineStr">
        <is>
          <t xml:space="preserve">  var wsDiag = ss.getSheetByName(CONFIG.abaDiagnostico);</t>
        </is>
      </c>
      <c r="D131" s="362" t="n"/>
    </row>
    <row r="132" ht="14" customHeight="1">
      <c r="A132" s="355" t="inlineStr">
        <is>
          <t xml:space="preserve">  var lastRow = wsDiag.getLastRow();</t>
        </is>
      </c>
      <c r="D132" s="362" t="n"/>
    </row>
    <row r="133" ht="14" customHeight="1">
      <c r="A133" s="355" t="inlineStr">
        <is>
          <t xml:space="preserve">  var lastCol = wsDiag.getLastColumn();</t>
        </is>
      </c>
      <c r="D133" s="362" t="n"/>
    </row>
    <row r="134" ht="14" customHeight="1">
      <c r="A134" s="355" t="inlineStr">
        <is>
          <t xml:space="preserve">  var data = wsDiag.getRange(1, 1, lastRow, lastCol).getValues();</t>
        </is>
      </c>
      <c r="D134" s="362" t="n"/>
    </row>
    <row r="135" ht="14" customHeight="1">
      <c r="A135" s="355" t="inlineStr">
        <is>
          <t xml:space="preserve">  var formulas = wsDiag.getRange(1, 1, lastRow, lastCol).getFormulas();</t>
        </is>
      </c>
      <c r="D135" s="362" t="n"/>
    </row>
    <row r="136" ht="14" customHeight="1">
      <c r="A136" s="355" t="inlineStr">
        <is>
          <t xml:space="preserve">  var clearRanges = [];</t>
        </is>
      </c>
      <c r="D136" s="362" t="n"/>
    </row>
    <row r="137" ht="14" customHeight="1">
      <c r="A137" s="355" t="inlineStr">
        <is>
          <t xml:space="preserve">  for (var r = 0; r &lt; data.length; r++) {</t>
        </is>
      </c>
      <c r="D137" s="362" t="n"/>
    </row>
    <row r="138" ht="14" customHeight="1">
      <c r="A138" s="355" t="inlineStr">
        <is>
          <t xml:space="preserve">    for (var c = 0; c &lt; data[r].length; c++) {</t>
        </is>
      </c>
      <c r="D138" s="362" t="n"/>
    </row>
    <row r="139" ht="14" customHeight="1">
      <c r="A139" s="355" t="inlineStr">
        <is>
          <t xml:space="preserve">      var val = data[r][c];</t>
        </is>
      </c>
      <c r="D139" s="362" t="n"/>
    </row>
    <row r="140" ht="14" customHeight="1">
      <c r="A140" s="355" t="inlineStr">
        <is>
          <t xml:space="preserve">      var formula = formulas[r][c];</t>
        </is>
      </c>
      <c r="D140" s="362" t="n"/>
    </row>
    <row r="141" ht="14" customHeight="1">
      <c r="A141" s="355" t="inlineStr">
        <is>
          <t xml:space="preserve">      // Input: valor numérico 0-3, sem fórmula</t>
        </is>
      </c>
      <c r="D141" s="362" t="n"/>
    </row>
    <row r="142" ht="14" customHeight="1">
      <c r="A142" s="355" t="inlineStr">
        <is>
          <t xml:space="preserve">      if (!formula &amp;&amp; (val === 0 || val === 1 || val === 2 || val === 3)) {</t>
        </is>
      </c>
      <c r="D142" s="362" t="n"/>
    </row>
    <row r="143" ht="14" customHeight="1">
      <c r="A143" s="355" t="inlineStr">
        <is>
          <t xml:space="preserve">        clearRanges.push(wsDiag.getRange(r+1, c+1));</t>
        </is>
      </c>
      <c r="D143" s="362" t="n"/>
    </row>
    <row r="144" ht="14" customHeight="1">
      <c r="A144" s="355" t="inlineStr">
        <is>
          <t xml:space="preserve">      }</t>
        </is>
      </c>
      <c r="D144" s="362" t="n"/>
    </row>
    <row r="145" ht="14" customHeight="1">
      <c r="A145" s="355" t="inlineStr">
        <is>
          <t xml:space="preserve">    }</t>
        </is>
      </c>
      <c r="D145" s="362" t="n"/>
    </row>
    <row r="146" ht="14" customHeight="1">
      <c r="A146" s="355" t="inlineStr">
        <is>
          <t xml:space="preserve">  }</t>
        </is>
      </c>
      <c r="D146" s="362" t="n"/>
    </row>
    <row r="147" ht="14" customHeight="1">
      <c r="A147" s="355" t="inlineStr">
        <is>
          <t xml:space="preserve">  // Resetar para 3 (padrão)</t>
        </is>
      </c>
      <c r="D147" s="362" t="n"/>
    </row>
    <row r="148" ht="14" customHeight="1">
      <c r="A148" s="355" t="inlineStr">
        <is>
          <t xml:space="preserve">  clearRanges.forEach(function(range) { range.setValue(3); });</t>
        </is>
      </c>
      <c r="D148" s="362" t="n"/>
    </row>
    <row r="149" ht="14" customHeight="1">
      <c r="A149" s="355" t="inlineStr"/>
      <c r="D149" s="362" t="n"/>
    </row>
    <row r="150" ht="14" customHeight="1">
      <c r="A150" s="355" t="inlineStr">
        <is>
          <t xml:space="preserve">  // 3. Limpar cômodos no Ba Gua</t>
        </is>
      </c>
      <c r="D150" s="362" t="n"/>
    </row>
    <row r="151" ht="14" customHeight="1">
      <c r="A151" s="355" t="inlineStr">
        <is>
          <t xml:space="preserve">  var wsBG = ss.getSheetByName("🗺️ Ba Gua Automático");</t>
        </is>
      </c>
      <c r="D151" s="362" t="n"/>
    </row>
    <row r="152" ht="14" customHeight="1">
      <c r="A152" s="355" t="inlineStr">
        <is>
          <t xml:space="preserve">  var bgData = wsBG.getRange(1, 1, wsBG.getLastRow(), wsBG.getLastColumn()).getValues();</t>
        </is>
      </c>
      <c r="D152" s="362" t="n"/>
    </row>
    <row r="153" ht="14" customHeight="1">
      <c r="A153" s="355" t="inlineStr">
        <is>
          <t xml:space="preserve">  var bgFormulas = wsBG.getRange(1, 1, wsBG.getLastRow(), wsBG.getLastColumn()).getFormulas();</t>
        </is>
      </c>
      <c r="D153" s="362" t="n"/>
    </row>
    <row r="154" ht="14" customHeight="1">
      <c r="A154" s="355" t="inlineStr">
        <is>
          <t xml:space="preserve">  for (var r = 0; r &lt; bgData.length; r++) {</t>
        </is>
      </c>
      <c r="D154" s="362" t="n"/>
    </row>
    <row r="155" ht="14" customHeight="1">
      <c r="A155" s="355" t="inlineStr">
        <is>
          <t xml:space="preserve">    for (var c = 0; c &lt; bgData[r].length; c++) {</t>
        </is>
      </c>
      <c r="D155" s="362" t="n"/>
    </row>
    <row r="156" ht="14" customHeight="1">
      <c r="A156" s="355" t="inlineStr">
        <is>
          <t xml:space="preserve">      var val = String(bgData[r][c] || "");</t>
        </is>
      </c>
      <c r="D156" s="362" t="n"/>
    </row>
    <row r="157" ht="14" customHeight="1">
      <c r="A157" s="355" t="inlineStr">
        <is>
          <t xml:space="preserve">      if (!bgFormulas[r][c] &amp;&amp; (val.includes("← Digite") || val.includes("Área Faltando"))) {</t>
        </is>
      </c>
      <c r="D157" s="362" t="n"/>
    </row>
    <row r="158" ht="14" customHeight="1">
      <c r="A158" s="355" t="inlineStr">
        <is>
          <t xml:space="preserve">        wsBG.getRange(r+1, c+1).setValue("← Digite o cômodo");</t>
        </is>
      </c>
      <c r="D158" s="362" t="n"/>
    </row>
    <row r="159" ht="14" customHeight="1">
      <c r="A159" s="355" t="inlineStr">
        <is>
          <t xml:space="preserve">      }</t>
        </is>
      </c>
      <c r="D159" s="362" t="n"/>
    </row>
    <row r="160" ht="14" customHeight="1">
      <c r="A160" s="355" t="inlineStr">
        <is>
          <t xml:space="preserve">    }</t>
        </is>
      </c>
      <c r="D160" s="362" t="n"/>
    </row>
    <row r="161" ht="14" customHeight="1">
      <c r="A161" s="355" t="inlineStr">
        <is>
          <t xml:space="preserve">  }</t>
        </is>
      </c>
      <c r="D161" s="362" t="n"/>
    </row>
    <row r="162" ht="14" customHeight="1">
      <c r="A162" s="355" t="inlineStr"/>
      <c r="D162" s="362" t="n"/>
    </row>
    <row r="163" ht="14" customHeight="1">
      <c r="A163" s="355" t="inlineStr">
        <is>
          <t xml:space="preserve">  // 4. Limpar notas/observações nas Prescrições</t>
        </is>
      </c>
      <c r="D163" s="362" t="n"/>
    </row>
    <row r="164" ht="14" customHeight="1">
      <c r="A164" s="355" t="inlineStr">
        <is>
          <t xml:space="preserve">  var wsPresc = ss.getSheetByName("💊 Prescrições");</t>
        </is>
      </c>
      <c r="D164" s="362" t="n"/>
    </row>
    <row r="165" ht="14" customHeight="1">
      <c r="A165" s="355" t="inlineStr">
        <is>
          <t xml:space="preserve">  var prescData = wsPresc.getRange(1, 1, wsPresc.getLastRow(), 10).getValues();</t>
        </is>
      </c>
      <c r="D165" s="362" t="n"/>
    </row>
    <row r="166" ht="14" customHeight="1">
      <c r="A166" s="355" t="inlineStr">
        <is>
          <t xml:space="preserve">  var prescFormulas = wsPresc.getRange(1, 1, wsPresc.getLastRow(), 10).getFormulas();</t>
        </is>
      </c>
      <c r="D166" s="362" t="n"/>
    </row>
    <row r="167" ht="14" customHeight="1">
      <c r="A167" s="355" t="inlineStr">
        <is>
          <t xml:space="preserve">  for (var r = 0; r &lt; prescData.length; r++) {</t>
        </is>
      </c>
      <c r="D167" s="362" t="n"/>
    </row>
    <row r="168" ht="14" customHeight="1">
      <c r="A168" s="355" t="inlineStr">
        <is>
          <t xml:space="preserve">    var cell_a = String(prescData[r][0] || "");</t>
        </is>
      </c>
      <c r="D168" s="362" t="n"/>
    </row>
    <row r="169" ht="14" customHeight="1">
      <c r="A169" s="355" t="inlineStr">
        <is>
          <t xml:space="preserve">    if (cell_a.startsWith("#")) {</t>
        </is>
      </c>
      <c r="D169" s="362" t="n"/>
    </row>
    <row r="170" ht="14" customHeight="1">
      <c r="A170" s="355" t="inlineStr">
        <is>
          <t xml:space="preserve">      // Linha de prioridade — limpar campos de input (cols 4-10, índice 3-9)</t>
        </is>
      </c>
      <c r="D170" s="362" t="n"/>
    </row>
    <row r="171" ht="14" customHeight="1">
      <c r="A171" s="355" t="inlineStr">
        <is>
          <t xml:space="preserve">      for (var c = 3; c &lt;= 9; c++) {</t>
        </is>
      </c>
      <c r="D171" s="362" t="n"/>
    </row>
    <row r="172" ht="14" customHeight="1">
      <c r="A172" s="355" t="inlineStr">
        <is>
          <t xml:space="preserve">        if (!prescFormulas[r][c]) {</t>
        </is>
      </c>
      <c r="D172" s="362" t="n"/>
    </row>
    <row r="173" ht="14" customHeight="1">
      <c r="A173" s="355" t="inlineStr">
        <is>
          <t xml:space="preserve">          wsPresc.getRange(r+1, c+1).setValue("← preencher conforme setor");</t>
        </is>
      </c>
      <c r="D173" s="362" t="n"/>
    </row>
    <row r="174" ht="14" customHeight="1">
      <c r="A174" s="355" t="inlineStr">
        <is>
          <t xml:space="preserve">        }</t>
        </is>
      </c>
      <c r="D174" s="362" t="n"/>
    </row>
    <row r="175" ht="14" customHeight="1">
      <c r="A175" s="355" t="inlineStr">
        <is>
          <t xml:space="preserve">      }</t>
        </is>
      </c>
      <c r="D175" s="362" t="n"/>
    </row>
    <row r="176" ht="14" customHeight="1">
      <c r="A176" s="355" t="inlineStr">
        <is>
          <t xml:space="preserve">    }</t>
        </is>
      </c>
      <c r="D176" s="362" t="n"/>
    </row>
    <row r="177" ht="14" customHeight="1">
      <c r="A177" s="355" t="inlineStr">
        <is>
          <t xml:space="preserve">  }</t>
        </is>
      </c>
      <c r="D177" s="362" t="n"/>
    </row>
    <row r="178" ht="14" customHeight="1">
      <c r="A178" s="355" t="inlineStr"/>
      <c r="D178" s="362" t="n"/>
    </row>
    <row r="179" ht="14" customHeight="1">
      <c r="A179" s="355" t="inlineStr">
        <is>
          <t xml:space="preserve">  ui.alert("✅ Planilha limpa!",</t>
        </is>
      </c>
      <c r="D179" s="362" t="n"/>
    </row>
    <row r="180" ht="14" customHeight="1">
      <c r="A180" s="355" t="inlineStr">
        <is>
          <t xml:space="preserve">    "Pronto para iniciar uma nova consulta.\\n" +</t>
        </is>
      </c>
      <c r="D180" s="362" t="n"/>
    </row>
    <row r="181" ht="14" customHeight="1">
      <c r="A181" s="355" t="inlineStr">
        <is>
          <t xml:space="preserve">    "Comece preenchendo os dados do cliente na aba 👤 Cliente.",</t>
        </is>
      </c>
      <c r="D181" s="362" t="n"/>
    </row>
    <row r="182" ht="14" customHeight="1">
      <c r="A182" s="355" t="inlineStr">
        <is>
          <t xml:space="preserve">    ui.ButtonSet.OK);</t>
        </is>
      </c>
      <c r="D182" s="362" t="n"/>
    </row>
    <row r="183" ht="14" customHeight="1">
      <c r="A183" s="355" t="inlineStr">
        <is>
          <t>}</t>
        </is>
      </c>
      <c r="D183" s="362" t="n"/>
    </row>
    <row r="184" ht="14" customHeight="1">
      <c r="A184" s="355" t="inlineStr"/>
      <c r="D184" s="362" t="n"/>
    </row>
    <row r="185" ht="14" customHeight="1">
      <c r="A185" s="355" t="inlineStr">
        <is>
          <t>// helper: limpa lista de células pelo endereço A1</t>
        </is>
      </c>
      <c r="D185" s="362" t="n"/>
    </row>
    <row r="186" ht="14" customHeight="1">
      <c r="A186" s="355" t="inlineStr">
        <is>
          <t>function _limparCelulasInput(sheet, cellRefs) {</t>
        </is>
      </c>
      <c r="D186" s="362" t="n"/>
    </row>
    <row r="187" ht="14" customHeight="1">
      <c r="A187" s="355" t="inlineStr">
        <is>
          <t xml:space="preserve">  cellRefs.forEach(function(ref) {</t>
        </is>
      </c>
      <c r="D187" s="362" t="n"/>
    </row>
    <row r="188" ht="14" customHeight="1">
      <c r="A188" s="355" t="inlineStr">
        <is>
          <t xml:space="preserve">    try { sheet.getRange(ref).clearContent(); } catch(e) {}</t>
        </is>
      </c>
      <c r="D188" s="362" t="n"/>
    </row>
    <row r="189" ht="14" customHeight="1">
      <c r="A189" s="355" t="inlineStr">
        <is>
          <t xml:space="preserve">  });</t>
        </is>
      </c>
      <c r="D189" s="362" t="n"/>
    </row>
    <row r="190" ht="14" customHeight="1">
      <c r="A190" s="355" t="inlineStr">
        <is>
          <t>}</t>
        </is>
      </c>
      <c r="D190" s="362" t="n"/>
    </row>
    <row r="191" ht="14" customHeight="1">
      <c r="A191" s="355" t="inlineStr"/>
      <c r="D191" s="362" t="n"/>
    </row>
    <row r="192" ht="14" customHeight="1">
      <c r="A192" s="355" t="inlineStr">
        <is>
          <t>// ================================================================</t>
        </is>
      </c>
      <c r="D192" s="362" t="n"/>
    </row>
    <row r="193" ht="14" customHeight="1">
      <c r="A193" s="355" t="inlineStr">
        <is>
          <t>// 3️⃣  salvarSnapshotHistorico() — Registra scores com data</t>
        </is>
      </c>
      <c r="D193" s="362" t="n"/>
    </row>
    <row r="194" ht="14" customHeight="1">
      <c r="A194" s="355" t="inlineStr">
        <is>
          <t>// ================================================================</t>
        </is>
      </c>
      <c r="D194" s="362" t="n"/>
    </row>
    <row r="195" ht="14" customHeight="1">
      <c r="A195" s="355" t="inlineStr">
        <is>
          <t>function salvarSnapshotHistorico() {</t>
        </is>
      </c>
      <c r="D195" s="362" t="n"/>
    </row>
    <row r="196" ht="14" customHeight="1">
      <c r="A196" s="355" t="inlineStr">
        <is>
          <t xml:space="preserve">  var ss = SpreadsheetApp.getActiveSpreadsheet();</t>
        </is>
      </c>
      <c r="D196" s="362" t="n"/>
    </row>
    <row r="197" ht="14" customHeight="1">
      <c r="A197" s="355" t="inlineStr">
        <is>
          <t xml:space="preserve">  var ui = SpreadsheetApp.getUi();</t>
        </is>
      </c>
      <c r="D197" s="362" t="n"/>
    </row>
    <row r="198" ht="14" customHeight="1">
      <c r="A198" s="355" t="inlineStr"/>
      <c r="D198" s="362" t="n"/>
    </row>
    <row r="199" ht="14" customHeight="1">
      <c r="A199" s="355" t="inlineStr">
        <is>
          <t xml:space="preserve">  // Buscar ou criar aba de histórico</t>
        </is>
      </c>
      <c r="D199" s="362" t="n"/>
    </row>
    <row r="200" ht="14" customHeight="1">
      <c r="A200" s="355" t="inlineStr">
        <is>
          <t xml:space="preserve">  var wsHist = ss.getSheetByName(CONFIG.abaHistorico);</t>
        </is>
      </c>
      <c r="D200" s="362" t="n"/>
    </row>
    <row r="201" ht="14" customHeight="1">
      <c r="A201" s="355" t="inlineStr">
        <is>
          <t xml:space="preserve">  if (!wsHist) {</t>
        </is>
      </c>
      <c r="D201" s="362" t="n"/>
    </row>
    <row r="202" ht="14" customHeight="1">
      <c r="A202" s="355" t="inlineStr">
        <is>
          <t xml:space="preserve">    wsHist = ss.insertSheet(CONFIG.abaHistorico);</t>
        </is>
      </c>
      <c r="D202" s="362" t="n"/>
    </row>
    <row r="203" ht="14" customHeight="1">
      <c r="A203" s="355" t="inlineStr">
        <is>
          <t xml:space="preserve">    // Cabeçalho</t>
        </is>
      </c>
      <c r="D203" s="362" t="n"/>
    </row>
    <row r="204" ht="14" customHeight="1">
      <c r="A204" s="355" t="inlineStr">
        <is>
          <t xml:space="preserve">    var headers = ["Data", "Cliente", "Consultor", "Endereço",</t>
        </is>
      </c>
      <c r="D204" s="362" t="n"/>
    </row>
    <row r="205" ht="14" customHeight="1">
      <c r="A205" s="355" t="inlineStr">
        <is>
          <t xml:space="preserve">                   "Prosperidade%", "Fama%", "Relacionamentos%", "Família%",</t>
        </is>
      </c>
      <c r="D205" s="362" t="n"/>
    </row>
    <row r="206" ht="14" customHeight="1">
      <c r="A206" s="355" t="inlineStr">
        <is>
          <t xml:space="preserve">                   "Saúde%", "Criatividade%", "Conhecimento%", "Carreira%",</t>
        </is>
      </c>
      <c r="D206" s="362" t="n"/>
    </row>
    <row r="207" ht="14" customHeight="1">
      <c r="A207" s="355" t="inlineStr">
        <is>
          <t xml:space="preserve">                   "Ajudantes%", "Média Geral%", "Observações"];</t>
        </is>
      </c>
      <c r="D207" s="362" t="n"/>
    </row>
    <row r="208" ht="14" customHeight="1">
      <c r="A208" s="355" t="inlineStr">
        <is>
          <t xml:space="preserve">    wsHist.getRange(1, 1, 1, headers.length).setValues([headers]);</t>
        </is>
      </c>
      <c r="D208" s="362" t="n"/>
    </row>
    <row r="209" ht="14" customHeight="1">
      <c r="A209" s="355" t="inlineStr">
        <is>
          <t xml:space="preserve">    wsHist.getRange(1, 1, 1, headers.length)</t>
        </is>
      </c>
      <c r="D209" s="362" t="n"/>
    </row>
    <row r="210" ht="14" customHeight="1">
      <c r="A210" s="355" t="inlineStr">
        <is>
          <t xml:space="preserve">      .setBackground("#4A235A").setFontColor("#FFFFFF")</t>
        </is>
      </c>
      <c r="D210" s="362" t="n"/>
    </row>
    <row r="211" ht="14" customHeight="1">
      <c r="A211" s="355" t="inlineStr">
        <is>
          <t xml:space="preserve">      .setFontWeight("bold").setFontFamily("Arial");</t>
        </is>
      </c>
      <c r="D211" s="362" t="n"/>
    </row>
    <row r="212" ht="14" customHeight="1">
      <c r="A212" s="355" t="inlineStr">
        <is>
          <t xml:space="preserve">    wsHist.setFrozenRows(1);</t>
        </is>
      </c>
      <c r="D212" s="362" t="n"/>
    </row>
    <row r="213" ht="14" customHeight="1">
      <c r="A213" s="355" t="inlineStr">
        <is>
          <t xml:space="preserve">    wsHist.setFrozenColumns(4);</t>
        </is>
      </c>
      <c r="D213" s="362" t="n"/>
    </row>
    <row r="214" ht="14" customHeight="1">
      <c r="A214" s="355" t="inlineStr">
        <is>
          <t xml:space="preserve">  }</t>
        </is>
      </c>
      <c r="D214" s="362" t="n"/>
    </row>
    <row r="215" ht="14" customHeight="1">
      <c r="A215" s="355" t="inlineStr"/>
      <c r="D215" s="362" t="n"/>
    </row>
    <row r="216" ht="14" customHeight="1">
      <c r="A216" s="355" t="inlineStr">
        <is>
          <t xml:space="preserve">  // Coletar dados</t>
        </is>
      </c>
      <c r="D216" s="362" t="n"/>
    </row>
    <row r="217" ht="14" customHeight="1">
      <c r="A217" s="355" t="inlineStr">
        <is>
          <t xml:space="preserve">  var wsCliente  = ss.getSheetByName(CONFIG.abaCliente);</t>
        </is>
      </c>
      <c r="D217" s="362" t="n"/>
    </row>
    <row r="218" ht="14" customHeight="1">
      <c r="A218" s="355" t="inlineStr">
        <is>
          <t xml:space="preserve">  var wsScore    = ss.getSheetByName("📊 Score Energético");</t>
        </is>
      </c>
      <c r="D218" s="362" t="n"/>
    </row>
    <row r="219" ht="14" customHeight="1">
      <c r="A219" s="355" t="inlineStr"/>
      <c r="D219" s="362" t="n"/>
    </row>
    <row r="220" ht="14" customHeight="1">
      <c r="A220" s="355" t="inlineStr">
        <is>
          <t xml:space="preserve">  var nomeCliente  = wsCliente.getRange(CONFIG.celulaCliente).getValue()    || "—";</t>
        </is>
      </c>
      <c r="D220" s="362" t="n"/>
    </row>
    <row r="221" ht="14" customHeight="1">
      <c r="A221" s="355" t="inlineStr">
        <is>
          <t xml:space="preserve">  var nomeConsultor= wsCliente.getRange(CONFIG.celulaConsultor).getValue()  || "—";</t>
        </is>
      </c>
      <c r="D221" s="362" t="n"/>
    </row>
    <row r="222" ht="14" customHeight="1">
      <c r="A222" s="355" t="inlineStr">
        <is>
          <t xml:space="preserve">  var endereco     = wsCliente.getRange(CONFIG.celulaEndereco).getValue()   || "—";</t>
        </is>
      </c>
      <c r="D222" s="362" t="n"/>
    </row>
    <row r="223" ht="14" customHeight="1">
      <c r="A223" s="355" t="inlineStr">
        <is>
          <t xml:space="preserve">  var dataHoje     = Utilities.formatDate(new Date(), Session.getScriptTimeZone(), "dd/MM/yyyy HH:mm");</t>
        </is>
      </c>
      <c r="D223" s="362" t="n"/>
    </row>
    <row r="224" ht="14" customHeight="1">
      <c r="A224" s="355" t="inlineStr"/>
      <c r="D224" s="362" t="n"/>
    </row>
    <row r="225" ht="14" customHeight="1">
      <c r="A225" s="355" t="inlineStr">
        <is>
          <t xml:space="preserve">  // Coletar % de cada setor do Score Energético</t>
        </is>
      </c>
      <c r="D225" s="362" t="n"/>
    </row>
    <row r="226" ht="14" customHeight="1">
      <c r="A226" s="355" t="inlineStr">
        <is>
          <t xml:space="preserve">  var setorOrder   = Object.keys(SCORES_MAP);</t>
        </is>
      </c>
      <c r="D226" s="362" t="n"/>
    </row>
    <row r="227" ht="14" customHeight="1">
      <c r="A227" s="355" t="inlineStr">
        <is>
          <t xml:space="preserve">  var scoreCells   = Object.values(SCORES_MAP);</t>
        </is>
      </c>
      <c r="D227" s="362" t="n"/>
    </row>
    <row r="228" ht="14" customHeight="1">
      <c r="A228" s="355" t="inlineStr">
        <is>
          <t xml:space="preserve">  var scores       = scoreCells.map(function(cell) {</t>
        </is>
      </c>
      <c r="D228" s="362" t="n"/>
    </row>
    <row r="229" ht="14" customHeight="1">
      <c r="A229" s="355" t="inlineStr">
        <is>
          <t xml:space="preserve">    var val = wsScore.getRange(cell).getValue();</t>
        </is>
      </c>
      <c r="D229" s="362" t="n"/>
    </row>
    <row r="230" ht="14" customHeight="1">
      <c r="A230" s="355" t="inlineStr">
        <is>
          <t xml:space="preserve">    return typeof val === "number" ? val : 0;</t>
        </is>
      </c>
      <c r="D230" s="362" t="n"/>
    </row>
    <row r="231" ht="14" customHeight="1">
      <c r="A231" s="355" t="inlineStr">
        <is>
          <t xml:space="preserve">  });</t>
        </is>
      </c>
      <c r="D231" s="362" t="n"/>
    </row>
    <row r="232" ht="14" customHeight="1">
      <c r="A232" s="355" t="inlineStr">
        <is>
          <t xml:space="preserve">  var mediaGeral   = scores.reduce(function(a,b){return a+b;},0) / scores.length;</t>
        </is>
      </c>
      <c r="D232" s="362" t="n"/>
    </row>
    <row r="233" ht="14" customHeight="1">
      <c r="A233" s="355" t="inlineStr"/>
      <c r="D233" s="362" t="n"/>
    </row>
    <row r="234" ht="14" customHeight="1">
      <c r="A234" s="355" t="inlineStr">
        <is>
          <t xml:space="preserve">  // Montar linha</t>
        </is>
      </c>
      <c r="D234" s="362" t="n"/>
    </row>
    <row r="235" ht="14" customHeight="1">
      <c r="A235" s="355" t="inlineStr">
        <is>
          <t xml:space="preserve">  var novaLinha = [dataHoje, nomeCliente, nomeConsultor, endereco]</t>
        </is>
      </c>
      <c r="D235" s="362" t="n"/>
    </row>
    <row r="236" ht="14" customHeight="1">
      <c r="A236" s="355" t="inlineStr">
        <is>
          <t xml:space="preserve">    .concat(scores.map(function(s){ return Math.round(s*100)+"%"; }))</t>
        </is>
      </c>
      <c r="D236" s="362" t="n"/>
    </row>
    <row r="237" ht="14" customHeight="1">
      <c r="A237" s="355" t="inlineStr">
        <is>
          <t xml:space="preserve">    .concat([Math.round(mediaGeral*100)+"%", ""]);</t>
        </is>
      </c>
      <c r="D237" s="362" t="n"/>
    </row>
    <row r="238" ht="14" customHeight="1">
      <c r="A238" s="355" t="inlineStr"/>
      <c r="D238" s="362" t="n"/>
    </row>
    <row r="239" ht="14" customHeight="1">
      <c r="A239" s="355" t="inlineStr">
        <is>
          <t xml:space="preserve">  var ultimaLinha = wsHist.getLastRow() + 1;</t>
        </is>
      </c>
      <c r="D239" s="362" t="n"/>
    </row>
    <row r="240" ht="14" customHeight="1">
      <c r="A240" s="355" t="inlineStr">
        <is>
          <t xml:space="preserve">  wsHist.getRange(ultimaLinha, 1, 1, novaLinha.length).setValues([novaLinha]);</t>
        </is>
      </c>
      <c r="D240" s="362" t="n"/>
    </row>
    <row r="241" ht="14" customHeight="1">
      <c r="A241" s="355" t="inlineStr"/>
      <c r="D241" s="362" t="n"/>
    </row>
    <row r="242" ht="14" customHeight="1">
      <c r="A242" s="355" t="inlineStr">
        <is>
          <t xml:space="preserve">  // Formatação zebrada</t>
        </is>
      </c>
      <c r="D242" s="362" t="n"/>
    </row>
    <row r="243" ht="14" customHeight="1">
      <c r="A243" s="355" t="inlineStr">
        <is>
          <t xml:space="preserve">  var rowColor = (ultimaLinha % 2 === 0) ? "#F5EEF8" : "#FFFFFF";</t>
        </is>
      </c>
      <c r="D243" s="362" t="n"/>
    </row>
    <row r="244" ht="14" customHeight="1">
      <c r="A244" s="355" t="inlineStr">
        <is>
          <t xml:space="preserve">  wsHist.getRange(ultimaLinha, 1, 1, novaLinha.length).setBackground(rowColor);</t>
        </is>
      </c>
      <c r="D244" s="362" t="n"/>
    </row>
    <row r="245" ht="14" customHeight="1">
      <c r="A245" s="355" t="inlineStr">
        <is>
          <t xml:space="preserve">  wsHist.autoResizeColumns(1, novaLinha.length);</t>
        </is>
      </c>
      <c r="D245" s="362" t="n"/>
    </row>
    <row r="246" ht="14" customHeight="1">
      <c r="A246" s="355" t="inlineStr"/>
      <c r="D246" s="362" t="n"/>
    </row>
    <row r="247" ht="14" customHeight="1">
      <c r="A247" s="355" t="inlineStr">
        <is>
          <t xml:space="preserve">  // Criar/atualizar gráfico de evolução (se houver 2+ linhas)</t>
        </is>
      </c>
      <c r="D247" s="362" t="n"/>
    </row>
    <row r="248" ht="14" customHeight="1">
      <c r="A248" s="355" t="inlineStr">
        <is>
          <t xml:space="preserve">  if (ultimaLinha &gt;= 3) {</t>
        </is>
      </c>
      <c r="D248" s="362" t="n"/>
    </row>
    <row r="249" ht="14" customHeight="1">
      <c r="A249" s="355" t="inlineStr">
        <is>
          <t xml:space="preserve">    _criarGraficoEvolucao(wsHist, ultimaLinha);</t>
        </is>
      </c>
      <c r="D249" s="362" t="n"/>
    </row>
    <row r="250" ht="14" customHeight="1">
      <c r="A250" s="355" t="inlineStr">
        <is>
          <t xml:space="preserve">  }</t>
        </is>
      </c>
      <c r="D250" s="362" t="n"/>
    </row>
    <row r="251" ht="14" customHeight="1">
      <c r="A251" s="355" t="inlineStr"/>
      <c r="D251" s="362" t="n"/>
    </row>
    <row r="252" ht="14" customHeight="1">
      <c r="A252" s="355" t="inlineStr">
        <is>
          <t xml:space="preserve">  ui.alert("✅ Snapshot salvo!",</t>
        </is>
      </c>
      <c r="D252" s="362" t="n"/>
    </row>
    <row r="253" ht="14" customHeight="1">
      <c r="A253" s="355" t="inlineStr">
        <is>
          <t xml:space="preserve">    "Consulta de " + nomeCliente + " registrada em " + dataHoje +</t>
        </is>
      </c>
      <c r="D253" s="362" t="n"/>
    </row>
    <row r="254" ht="14" customHeight="1">
      <c r="A254" s="355" t="inlineStr">
        <is>
          <t xml:space="preserve">    "\\nMédia geral: " + Math.round(mediaGeral*100) + "%" +</t>
        </is>
      </c>
      <c r="D254" s="362" t="n"/>
    </row>
    <row r="255" ht="14" customHeight="1">
      <c r="A255" s="355" t="inlineStr">
        <is>
          <t xml:space="preserve">    "\\n\\nVeja o histórico na aba '" + CONFIG.abaHistorico + "'.",</t>
        </is>
      </c>
      <c r="D255" s="362" t="n"/>
    </row>
    <row r="256" ht="14" customHeight="1">
      <c r="A256" s="355" t="inlineStr">
        <is>
          <t xml:space="preserve">    ui.ButtonSet.OK);</t>
        </is>
      </c>
      <c r="D256" s="362" t="n"/>
    </row>
    <row r="257" ht="14" customHeight="1">
      <c r="A257" s="355" t="inlineStr">
        <is>
          <t>}</t>
        </is>
      </c>
      <c r="D257" s="362" t="n"/>
    </row>
    <row r="258" ht="14" customHeight="1">
      <c r="A258" s="355" t="inlineStr"/>
      <c r="D258" s="362" t="n"/>
    </row>
    <row r="259" ht="14" customHeight="1">
      <c r="A259" s="355" t="inlineStr">
        <is>
          <t>function _criarGraficoEvolucao(wsHist, ultimaLinha) {</t>
        </is>
      </c>
      <c r="D259" s="362" t="n"/>
    </row>
    <row r="260" ht="14" customHeight="1">
      <c r="A260" s="355" t="inlineStr">
        <is>
          <t xml:space="preserve">  // Remove gráficos existentes</t>
        </is>
      </c>
      <c r="D260" s="362" t="n"/>
    </row>
    <row r="261" ht="14" customHeight="1">
      <c r="A261" s="355" t="inlineStr">
        <is>
          <t xml:space="preserve">  var charts = wsHist.getCharts();</t>
        </is>
      </c>
      <c r="D261" s="362" t="n"/>
    </row>
    <row r="262" ht="14" customHeight="1">
      <c r="A262" s="355" t="inlineStr">
        <is>
          <t xml:space="preserve">  charts.forEach(function(c){ wsHist.removeChart(c); });</t>
        </is>
      </c>
      <c r="D262" s="362" t="n"/>
    </row>
    <row r="263" ht="14" customHeight="1">
      <c r="A263" s="355" t="inlineStr"/>
      <c r="D263" s="362" t="n"/>
    </row>
    <row r="264" ht="14" customHeight="1">
      <c r="A264" s="355" t="inlineStr">
        <is>
          <t xml:space="preserve">  // Criar novo gráfico de linhas com evolução da Média Geral</t>
        </is>
      </c>
      <c r="D264" s="362" t="n"/>
    </row>
    <row r="265" ht="14" customHeight="1">
      <c r="A265" s="355" t="inlineStr">
        <is>
          <t xml:space="preserve">  var dataRange = wsHist.getRange(1, 1, ultimaLinha, 14); // Data + 9 scores + média</t>
        </is>
      </c>
      <c r="D265" s="362" t="n"/>
    </row>
    <row r="266" ht="14" customHeight="1">
      <c r="A266" s="355" t="inlineStr">
        <is>
          <t xml:space="preserve">  var chart = wsHist.newChart()</t>
        </is>
      </c>
      <c r="D266" s="362" t="n"/>
    </row>
    <row r="267" ht="14" customHeight="1">
      <c r="A267" s="355" t="inlineStr">
        <is>
          <t xml:space="preserve">    .setChartType(Charts.ChartType.LINE)</t>
        </is>
      </c>
      <c r="D267" s="362" t="n"/>
    </row>
    <row r="268" ht="14" customHeight="1">
      <c r="A268" s="355" t="inlineStr">
        <is>
          <t xml:space="preserve">    .addRange(wsHist.getRange(2, 1, ultimaLinha-1, 1))  // Datas (eixo X)</t>
        </is>
      </c>
      <c r="D268" s="362" t="n"/>
    </row>
    <row r="269" ht="14" customHeight="1">
      <c r="A269" s="355" t="inlineStr">
        <is>
          <t xml:space="preserve">    .addRange(wsHist.getRange(2, 14, ultimaLinha-1, 1)) // Média Geral</t>
        </is>
      </c>
      <c r="D269" s="362" t="n"/>
    </row>
    <row r="270" ht="14" customHeight="1">
      <c r="A270" s="355" t="inlineStr">
        <is>
          <t xml:space="preserve">    .setPosition(5, 16, 0, 0)</t>
        </is>
      </c>
      <c r="D270" s="362" t="n"/>
    </row>
    <row r="271" ht="14" customHeight="1">
      <c r="A271" s="355" t="inlineStr">
        <is>
          <t xml:space="preserve">    .setOption("title", "Evolução Energética — " + wsHist.getRange("B2").getValue())</t>
        </is>
      </c>
      <c r="D271" s="362" t="n"/>
    </row>
    <row r="272" ht="14" customHeight="1">
      <c r="A272" s="355" t="inlineStr">
        <is>
          <t xml:space="preserve">    .setOption("width", 600)</t>
        </is>
      </c>
      <c r="D272" s="362" t="n"/>
    </row>
    <row r="273" ht="14" customHeight="1">
      <c r="A273" s="355" t="inlineStr">
        <is>
          <t xml:space="preserve">    .setOption("height", 350)</t>
        </is>
      </c>
      <c r="D273" s="362" t="n"/>
    </row>
    <row r="274" ht="14" customHeight="1">
      <c r="A274" s="355" t="inlineStr">
        <is>
          <t xml:space="preserve">    .setOption("colors", ["#7D3C98"])</t>
        </is>
      </c>
      <c r="D274" s="362" t="n"/>
    </row>
    <row r="275" ht="14" customHeight="1">
      <c r="A275" s="355" t="inlineStr">
        <is>
          <t xml:space="preserve">    .setOption("legend", { position: "bottom" })</t>
        </is>
      </c>
      <c r="D275" s="362" t="n"/>
    </row>
    <row r="276" ht="14" customHeight="1">
      <c r="A276" s="355" t="inlineStr">
        <is>
          <t xml:space="preserve">    .build();</t>
        </is>
      </c>
      <c r="D276" s="362" t="n"/>
    </row>
    <row r="277" ht="14" customHeight="1">
      <c r="A277" s="355" t="inlineStr">
        <is>
          <t xml:space="preserve">  wsHist.insertChart(chart);</t>
        </is>
      </c>
      <c r="D277" s="362" t="n"/>
    </row>
    <row r="278" ht="14" customHeight="1">
      <c r="A278" s="355" t="inlineStr">
        <is>
          <t>}</t>
        </is>
      </c>
      <c r="D278" s="362" t="n"/>
    </row>
    <row r="279" ht="14" customHeight="1">
      <c r="A279" s="355" t="inlineStr"/>
      <c r="D279" s="362" t="n"/>
    </row>
    <row r="280" ht="14" customHeight="1">
      <c r="A280" s="355" t="inlineStr">
        <is>
          <t>// ================================================================</t>
        </is>
      </c>
      <c r="D280" s="362" t="n"/>
    </row>
    <row r="281" ht="14" customHeight="1">
      <c r="A281" s="355" t="inlineStr">
        <is>
          <t>// 4️⃣  enviarWhatsApp() — Abre WhatsApp com mensagem pré-formatada</t>
        </is>
      </c>
      <c r="D281" s="362" t="n"/>
    </row>
    <row r="282" ht="14" customHeight="1">
      <c r="A282" s="355" t="inlineStr">
        <is>
          <t>// ================================================================</t>
        </is>
      </c>
      <c r="D282" s="362" t="n"/>
    </row>
    <row r="283" ht="14" customHeight="1">
      <c r="A283" s="355" t="inlineStr">
        <is>
          <t>function enviarWhatsApp() {</t>
        </is>
      </c>
      <c r="D283" s="362" t="n"/>
    </row>
    <row r="284" ht="14" customHeight="1">
      <c r="A284" s="355" t="inlineStr">
        <is>
          <t xml:space="preserve">  var ss = SpreadsheetApp.getActiveSpreadsheet();</t>
        </is>
      </c>
      <c r="D284" s="362" t="n"/>
    </row>
    <row r="285" ht="14" customHeight="1">
      <c r="A285" s="355" t="inlineStr">
        <is>
          <t xml:space="preserve">  var ui = SpreadsheetApp.getUi();</t>
        </is>
      </c>
      <c r="D285" s="362" t="n"/>
    </row>
    <row r="286" ht="14" customHeight="1">
      <c r="A286" s="355" t="inlineStr">
        <is>
          <t xml:space="preserve">  var wsCliente = ss.getSheetByName(CONFIG.abaCliente);</t>
        </is>
      </c>
      <c r="D286" s="362" t="n"/>
    </row>
    <row r="287" ht="14" customHeight="1">
      <c r="A287" s="355" t="inlineStr"/>
      <c r="D287" s="362" t="n"/>
    </row>
    <row r="288" ht="14" customHeight="1">
      <c r="A288" s="355" t="inlineStr">
        <is>
          <t xml:space="preserve">  // Pegar número e nome do cliente</t>
        </is>
      </c>
      <c r="D288" s="362" t="n"/>
    </row>
    <row r="289" ht="14" customHeight="1">
      <c r="A289" s="355" t="inlineStr">
        <is>
          <t xml:space="preserve">  var telefone    = String(wsCliente.getRange(CONFIG.celulaTelefone).getValue() || "").replace(/\D/g,"");</t>
        </is>
      </c>
      <c r="D289" s="362" t="n"/>
    </row>
    <row r="290" ht="14" customHeight="1">
      <c r="A290" s="355" t="inlineStr">
        <is>
          <t xml:space="preserve">  var nomeCliente = wsCliente.getRange(CONFIG.celulaCliente).getValue() || "Cliente";</t>
        </is>
      </c>
      <c r="D290" s="362" t="n"/>
    </row>
    <row r="291" ht="14" customHeight="1">
      <c r="A291" s="355" t="inlineStr">
        <is>
          <t xml:space="preserve">  var linkPDF     = PropertiesService.getScriptProperties().getProperty("ultimoLinkPDF") || "[GERE O PDF PRIMEIRO]";</t>
        </is>
      </c>
      <c r="D291" s="362" t="n"/>
    </row>
    <row r="292" ht="14" customHeight="1">
      <c r="A292" s="355" t="inlineStr"/>
      <c r="D292" s="362" t="n"/>
    </row>
    <row r="293" ht="14" customHeight="1">
      <c r="A293" s="355" t="inlineStr">
        <is>
          <t xml:space="preserve">  if (!telefone) {</t>
        </is>
      </c>
      <c r="D293" s="362" t="n"/>
    </row>
    <row r="294" ht="14" customHeight="1">
      <c r="A294" s="355" t="inlineStr">
        <is>
          <t xml:space="preserve">    ui.alert("⚠️ Telefone não encontrado",</t>
        </is>
      </c>
      <c r="D294" s="362" t="n"/>
    </row>
    <row r="295" ht="14" customHeight="1">
      <c r="A295" s="355" t="inlineStr">
        <is>
          <t xml:space="preserve">      "Preencha o WhatsApp do cliente na aba 👤 Cliente antes de usar esta função.",</t>
        </is>
      </c>
      <c r="D295" s="362" t="n"/>
    </row>
    <row r="296" ht="14" customHeight="1">
      <c r="A296" s="355" t="inlineStr">
        <is>
          <t xml:space="preserve">      ui.ButtonSet.OK);</t>
        </is>
      </c>
      <c r="D296" s="362" t="n"/>
    </row>
    <row r="297" ht="14" customHeight="1">
      <c r="A297" s="355" t="inlineStr">
        <is>
          <t xml:space="preserve">    return;</t>
        </is>
      </c>
      <c r="D297" s="362" t="n"/>
    </row>
    <row r="298" ht="14" customHeight="1">
      <c r="A298" s="355" t="inlineStr">
        <is>
          <t xml:space="preserve">  }</t>
        </is>
      </c>
      <c r="D298" s="362" t="n"/>
    </row>
    <row r="299" ht="14" customHeight="1">
      <c r="A299" s="355" t="inlineStr"/>
      <c r="D299" s="362" t="n"/>
    </row>
    <row r="300" ht="14" customHeight="1">
      <c r="A300" s="355" t="inlineStr">
        <is>
          <t xml:space="preserve">  // Adicionar +55 se necessário</t>
        </is>
      </c>
      <c r="D300" s="362" t="n"/>
    </row>
    <row r="301" ht="14" customHeight="1">
      <c r="A301" s="355" t="inlineStr">
        <is>
          <t xml:space="preserve">  if (!telefone.startsWith("55") &amp;&amp; telefone.length &lt;= 11) {</t>
        </is>
      </c>
      <c r="D301" s="362" t="n"/>
    </row>
    <row r="302" ht="14" customHeight="1">
      <c r="A302" s="355" t="inlineStr">
        <is>
          <t xml:space="preserve">    telefone = "55" + telefone;</t>
        </is>
      </c>
      <c r="D302" s="362" t="n"/>
    </row>
    <row r="303" ht="14" customHeight="1">
      <c r="A303" s="355" t="inlineStr">
        <is>
          <t xml:space="preserve">  }</t>
        </is>
      </c>
      <c r="D303" s="362" t="n"/>
    </row>
    <row r="304" ht="14" customHeight="1">
      <c r="A304" s="355" t="inlineStr"/>
      <c r="D304" s="362" t="n"/>
    </row>
    <row r="305" ht="14" customHeight="1">
      <c r="A305" s="355" t="inlineStr">
        <is>
          <t xml:space="preserve">  // Montar mensagem</t>
        </is>
      </c>
      <c r="D305" s="362" t="n"/>
    </row>
    <row r="306" ht="14" customHeight="1">
      <c r="A306" s="355" t="inlineStr">
        <is>
          <t xml:space="preserve">  var wsScore  = ss.getSheetByName("📊 Score Energético");</t>
        </is>
      </c>
      <c r="D306" s="362" t="n"/>
    </row>
    <row r="307" ht="14" customHeight="1">
      <c r="A307" s="355" t="inlineStr">
        <is>
          <t xml:space="preserve">  var nomeConsultor = wsCliente.getRange(CONFIG.celulaConsultor).getValue() || "";</t>
        </is>
      </c>
      <c r="D307" s="362" t="n"/>
    </row>
    <row r="308" ht="14" customHeight="1">
      <c r="A308" s="355" t="inlineStr"/>
      <c r="D308" s="362" t="n"/>
    </row>
    <row r="309" ht="14" customHeight="1">
      <c r="A309" s="355" t="inlineStr">
        <is>
          <t xml:space="preserve">  var mensagem = encodeURIComponent(</t>
        </is>
      </c>
      <c r="D309" s="362" t="n"/>
    </row>
    <row r="310" ht="14" customHeight="1">
      <c r="A310" s="355" t="inlineStr">
        <is>
          <t xml:space="preserve">    "Olá " + nomeCliente + "! 🏡✨\n\n" +</t>
        </is>
      </c>
      <c r="D310" s="362" t="n"/>
    </row>
    <row r="311" ht="14" customHeight="1">
      <c r="A311" s="355" t="inlineStr">
        <is>
          <t xml:space="preserve">    "Segue o seu Relatório de Feng Shui Chapéu Preto:\n" +</t>
        </is>
      </c>
      <c r="D311" s="362" t="n"/>
    </row>
    <row r="312" ht="14" customHeight="1">
      <c r="A312" s="355" t="inlineStr">
        <is>
          <t xml:space="preserve">    "🔗 " + linkPDF + "\n\n" +</t>
        </is>
      </c>
      <c r="D312" s="362" t="n"/>
    </row>
    <row r="313" ht="14" customHeight="1">
      <c r="A313" s="355" t="inlineStr">
        <is>
          <t xml:space="preserve">    "No relatório você encontra:\n" +</t>
        </is>
      </c>
      <c r="D313" s="362" t="n"/>
    </row>
    <row r="314" ht="14" customHeight="1">
      <c r="A314" s="355" t="inlineStr">
        <is>
          <t xml:space="preserve">    "✅ Mapa Ba Gua colorido da sua casa\n" +</t>
        </is>
      </c>
      <c r="D314" s="362" t="n"/>
    </row>
    <row r="315" ht="14" customHeight="1">
      <c r="A315" s="355" t="inlineStr">
        <is>
          <t xml:space="preserve">    "✅ Score energético de cada setor\n" +</t>
        </is>
      </c>
      <c r="D315" s="362" t="n"/>
    </row>
    <row r="316" ht="14" customHeight="1">
      <c r="A316" s="355" t="inlineStr">
        <is>
          <t xml:space="preserve">    "✅ Plano de ativações priorizado\n" +</t>
        </is>
      </c>
      <c r="D316" s="362" t="n"/>
    </row>
    <row r="317" ht="14" customHeight="1">
      <c r="A317" s="355" t="inlineStr">
        <is>
          <t xml:space="preserve">    "✅ Mantras e rituais dos Três Segredos\n\n" +</t>
        </is>
      </c>
      <c r="D317" s="362" t="n"/>
    </row>
    <row r="318" ht="14" customHeight="1">
      <c r="A318" s="355" t="inlineStr">
        <is>
          <t xml:space="preserve">    "Qualquer dúvida estou à disposição! 🙏\n\n" +</t>
        </is>
      </c>
      <c r="D318" s="362" t="n"/>
    </row>
    <row r="319" ht="14" customHeight="1">
      <c r="A319" s="355" t="inlineStr">
        <is>
          <t xml:space="preserve">    (nomeConsultor ? "— " + nomeConsultor : "")</t>
        </is>
      </c>
      <c r="D319" s="362" t="n"/>
    </row>
    <row r="320" ht="14" customHeight="1">
      <c r="A320" s="355" t="inlineStr">
        <is>
          <t xml:space="preserve">  );</t>
        </is>
      </c>
      <c r="D320" s="362" t="n"/>
    </row>
    <row r="321" ht="14" customHeight="1">
      <c r="A321" s="355" t="inlineStr"/>
      <c r="D321" s="362" t="n"/>
    </row>
    <row r="322" ht="14" customHeight="1">
      <c r="A322" s="355" t="inlineStr">
        <is>
          <t xml:space="preserve">  var urlWhatsApp = "https://wa.me/" + telefone + "?text=" + mensagem;</t>
        </is>
      </c>
      <c r="D322" s="362" t="n"/>
    </row>
    <row r="323" ht="14" customHeight="1">
      <c r="A323" s="355" t="inlineStr"/>
      <c r="D323" s="362" t="n"/>
    </row>
    <row r="324" ht="14" customHeight="1">
      <c r="A324" s="355" t="inlineStr">
        <is>
          <t xml:space="preserve">  // Abrir no navegador</t>
        </is>
      </c>
      <c r="D324" s="362" t="n"/>
    </row>
    <row r="325" ht="14" customHeight="1">
      <c r="A325" s="355" t="inlineStr">
        <is>
          <t xml:space="preserve">  var html = HtmlService.createHtmlOutput(</t>
        </is>
      </c>
      <c r="D325" s="362" t="n"/>
    </row>
    <row r="326" ht="14" customHeight="1">
      <c r="A326" s="355" t="inlineStr">
        <is>
          <t xml:space="preserve">    "&lt;script&gt;window.open('" + urlWhatsApp + "','_blank'); google.script.host.close();&lt;/script&gt;"</t>
        </is>
      </c>
      <c r="D326" s="362" t="n"/>
    </row>
    <row r="327" ht="14" customHeight="1">
      <c r="A327" s="355" t="inlineStr">
        <is>
          <t xml:space="preserve">  ).setWidth(100).setHeight(50);</t>
        </is>
      </c>
      <c r="D327" s="362" t="n"/>
    </row>
    <row r="328" ht="14" customHeight="1">
      <c r="A328" s="355" t="inlineStr">
        <is>
          <t xml:space="preserve">  ui.showModelessDialog(html, "Abrindo WhatsApp...");</t>
        </is>
      </c>
      <c r="D328" s="362" t="n"/>
    </row>
    <row r="329" ht="14" customHeight="1">
      <c r="A329" s="355" t="inlineStr">
        <is>
          <t>}</t>
        </is>
      </c>
      <c r="D329" s="362" t="n"/>
    </row>
    <row r="330" ht="14" customHeight="1">
      <c r="A330" s="355" t="inlineStr"/>
      <c r="D330" s="362" t="n"/>
    </row>
    <row r="331" ht="14" customHeight="1">
      <c r="A331" s="355" t="inlineStr">
        <is>
          <t>// ================================================================</t>
        </is>
      </c>
      <c r="D331" s="362" t="n"/>
    </row>
    <row r="332" ht="14" customHeight="1">
      <c r="A332" s="355" t="inlineStr">
        <is>
          <t>// 5️⃣  validarPreenchimento() — Checa campos obrigatórios</t>
        </is>
      </c>
      <c r="D332" s="362" t="n"/>
    </row>
    <row r="333" ht="14" customHeight="1">
      <c r="A333" s="355" t="inlineStr">
        <is>
          <t>// ================================================================</t>
        </is>
      </c>
      <c r="D333" s="362" t="n"/>
    </row>
    <row r="334" ht="14" customHeight="1">
      <c r="A334" s="355" t="inlineStr">
        <is>
          <t>function validarPreenchimento(silencioso) {</t>
        </is>
      </c>
      <c r="D334" s="362" t="n"/>
    </row>
    <row r="335" ht="14" customHeight="1">
      <c r="A335" s="355" t="inlineStr">
        <is>
          <t xml:space="preserve">  var ss        = SpreadsheetApp.getActiveSpreadsheet();</t>
        </is>
      </c>
      <c r="D335" s="362" t="n"/>
    </row>
    <row r="336" ht="14" customHeight="1">
      <c r="A336" s="355" t="inlineStr">
        <is>
          <t xml:space="preserve">  var wsCliente = ss.getSheetByName(CONFIG.abaCliente);</t>
        </is>
      </c>
      <c r="D336" s="362" t="n"/>
    </row>
    <row r="337" ht="14" customHeight="1">
      <c r="A337" s="355" t="inlineStr">
        <is>
          <t xml:space="preserve">  var wsDiag    = ss.getSheetByName(CONFIG.abaDiagnostico);</t>
        </is>
      </c>
      <c r="D337" s="362" t="n"/>
    </row>
    <row r="338" ht="14" customHeight="1">
      <c r="A338" s="355" t="inlineStr"/>
      <c r="D338" s="362" t="n"/>
    </row>
    <row r="339" ht="14" customHeight="1">
      <c r="A339" s="355" t="inlineStr">
        <is>
          <t xml:space="preserve">  var problemas = [];</t>
        </is>
      </c>
      <c r="D339" s="362" t="n"/>
    </row>
    <row r="340" ht="14" customHeight="1">
      <c r="A340" s="355" t="inlineStr">
        <is>
          <t xml:space="preserve">  var avisos    = [];</t>
        </is>
      </c>
      <c r="D340" s="362" t="n"/>
    </row>
    <row r="341" ht="14" customHeight="1">
      <c r="A341" s="355" t="inlineStr"/>
      <c r="D341" s="362" t="n"/>
    </row>
    <row r="342" ht="14" customHeight="1">
      <c r="A342" s="355" t="inlineStr">
        <is>
          <t xml:space="preserve">  // ── Campos obrigatórios do cliente ──</t>
        </is>
      </c>
      <c r="D342" s="362" t="n"/>
    </row>
    <row r="343" ht="14" customHeight="1">
      <c r="A343" s="355" t="inlineStr">
        <is>
          <t xml:space="preserve">  var checkCliente = [</t>
        </is>
      </c>
      <c r="D343" s="362" t="n"/>
    </row>
    <row r="344" ht="14" customHeight="1">
      <c r="A344" s="355" t="inlineStr">
        <is>
          <t xml:space="preserve">    [CONFIG.celulaCliente,      "Nome do cliente"],</t>
        </is>
      </c>
      <c r="D344" s="362" t="n"/>
    </row>
    <row r="345" ht="14" customHeight="1">
      <c r="A345" s="355" t="inlineStr">
        <is>
          <t xml:space="preserve">    [CONFIG.celulaDataConsulta, "Data da consulta"],</t>
        </is>
      </c>
      <c r="D345" s="362" t="n"/>
    </row>
    <row r="346" ht="14" customHeight="1">
      <c r="A346" s="355" t="inlineStr">
        <is>
          <t xml:space="preserve">    [CONFIG.celulaEndereco,     "Endereço do imóvel"],</t>
        </is>
      </c>
      <c r="D346" s="362" t="n"/>
    </row>
    <row r="347" ht="14" customHeight="1">
      <c r="A347" s="355" t="inlineStr">
        <is>
          <t xml:space="preserve">    [CONFIG.celulaConsultor,    "Nome do consultor"],</t>
        </is>
      </c>
      <c r="D347" s="362" t="n"/>
    </row>
    <row r="348" ht="14" customHeight="1">
      <c r="A348" s="355" t="inlineStr">
        <is>
          <t xml:space="preserve">  ];</t>
        </is>
      </c>
      <c r="D348" s="362" t="n"/>
    </row>
    <row r="349" ht="14" customHeight="1">
      <c r="A349" s="355" t="inlineStr">
        <is>
          <t xml:space="preserve">  checkCliente.forEach(function(item) {</t>
        </is>
      </c>
      <c r="D349" s="362" t="n"/>
    </row>
    <row r="350" ht="14" customHeight="1">
      <c r="A350" s="355" t="inlineStr">
        <is>
          <t xml:space="preserve">    var val = wsCliente.getRange(item[0]).getValue();</t>
        </is>
      </c>
      <c r="D350" s="362" t="n"/>
    </row>
    <row r="351" ht="14" customHeight="1">
      <c r="A351" s="355" t="inlineStr">
        <is>
          <t xml:space="preserve">    if (!val || String(val).trim() === "") {</t>
        </is>
      </c>
      <c r="D351" s="362" t="n"/>
    </row>
    <row r="352" ht="14" customHeight="1">
      <c r="A352" s="355" t="inlineStr">
        <is>
          <t xml:space="preserve">      problemas.push("❌ " + item[1] + " não preenchido (aba 👤 Cliente)");</t>
        </is>
      </c>
      <c r="D352" s="362" t="n"/>
    </row>
    <row r="353" ht="14" customHeight="1">
      <c r="A353" s="355" t="inlineStr">
        <is>
          <t xml:space="preserve">    }</t>
        </is>
      </c>
      <c r="D353" s="362" t="n"/>
    </row>
    <row r="354" ht="14" customHeight="1">
      <c r="A354" s="355" t="inlineStr">
        <is>
          <t xml:space="preserve">  });</t>
        </is>
      </c>
      <c r="D354" s="362" t="n"/>
    </row>
    <row r="355" ht="14" customHeight="1">
      <c r="A355" s="355" t="inlineStr"/>
      <c r="D355" s="362" t="n"/>
    </row>
    <row r="356" ht="14" customHeight="1">
      <c r="A356" s="355" t="inlineStr">
        <is>
          <t xml:space="preserve">  // ── Diagnóstico: pelo menos 5 dos 9 setores devem ter sido alterados ──</t>
        </is>
      </c>
      <c r="D356" s="362" t="n"/>
    </row>
    <row r="357" ht="14" customHeight="1">
      <c r="A357" s="355" t="inlineStr">
        <is>
          <t xml:space="preserve">  // (score diferente do padrão 3 em pelo menos 1 célula do setor)</t>
        </is>
      </c>
      <c r="D357" s="362" t="n"/>
    </row>
    <row r="358" ht="14" customHeight="1">
      <c r="A358" s="355" t="inlineStr">
        <is>
          <t xml:space="preserve">  var wsScore = ss.getSheetByName("📊 Score Energético");</t>
        </is>
      </c>
      <c r="D358" s="362" t="n"/>
    </row>
    <row r="359" ht="14" customHeight="1">
      <c r="A359" s="355" t="inlineStr">
        <is>
          <t xml:space="preserve">  var setores = Object.keys(SCORES_MAP);</t>
        </is>
      </c>
      <c r="D359" s="362" t="n"/>
    </row>
    <row r="360" ht="14" customHeight="1">
      <c r="A360" s="355" t="inlineStr">
        <is>
          <t xml:space="preserve">  var setorCells = Object.values(SCORES_MAP);</t>
        </is>
      </c>
      <c r="D360" s="362" t="n"/>
    </row>
    <row r="361" ht="14" customHeight="1">
      <c r="A361" s="355" t="inlineStr">
        <is>
          <t xml:space="preserve">  var setoresProntos = 0;</t>
        </is>
      </c>
      <c r="D361" s="362" t="n"/>
    </row>
    <row r="362" ht="14" customHeight="1">
      <c r="A362" s="355" t="inlineStr">
        <is>
          <t xml:space="preserve">  setorCells.forEach(function(cell, i) {</t>
        </is>
      </c>
      <c r="D362" s="362" t="n"/>
    </row>
    <row r="363" ht="14" customHeight="1">
      <c r="A363" s="355" t="inlineStr">
        <is>
          <t xml:space="preserve">    var val = wsScore.getRange(cell).getValue();</t>
        </is>
      </c>
      <c r="D363" s="362" t="n"/>
    </row>
    <row r="364" ht="14" customHeight="1">
      <c r="A364" s="355" t="inlineStr">
        <is>
          <t xml:space="preserve">    if (val &gt; 0) setoresProntos++;</t>
        </is>
      </c>
      <c r="D364" s="362" t="n"/>
    </row>
    <row r="365" ht="14" customHeight="1">
      <c r="A365" s="355" t="inlineStr">
        <is>
          <t xml:space="preserve">  });</t>
        </is>
      </c>
      <c r="D365" s="362" t="n"/>
    </row>
    <row r="366" ht="14" customHeight="1">
      <c r="A366" s="355" t="inlineStr">
        <is>
          <t xml:space="preserve">  if (setoresProntos &lt; 5) {</t>
        </is>
      </c>
      <c r="D366" s="362" t="n"/>
    </row>
    <row r="367" ht="14" customHeight="1">
      <c r="A367" s="355" t="inlineStr">
        <is>
          <t xml:space="preserve">    problemas.push("❌ Diagnóstico incompleto: apenas " + setoresProntos + " de 9 setores avaliados (mínimo 5)");</t>
        </is>
      </c>
      <c r="D367" s="362" t="n"/>
    </row>
    <row r="368" ht="14" customHeight="1">
      <c r="A368" s="355" t="inlineStr">
        <is>
          <t xml:space="preserve">  } else if (setoresProntos &lt; 9) {</t>
        </is>
      </c>
      <c r="D368" s="362" t="n"/>
    </row>
    <row r="369" ht="14" customHeight="1">
      <c r="A369" s="355" t="inlineStr">
        <is>
          <t xml:space="preserve">    avisos.push("⚠️ Diagnóstico parcial: " + setoresProntos + " de 9 setores avaliados");</t>
        </is>
      </c>
      <c r="D369" s="362" t="n"/>
    </row>
    <row r="370" ht="14" customHeight="1">
      <c r="A370" s="355" t="inlineStr">
        <is>
          <t xml:space="preserve">  }</t>
        </is>
      </c>
      <c r="D370" s="362" t="n"/>
    </row>
    <row r="371" ht="14" customHeight="1">
      <c r="A371" s="355" t="inlineStr"/>
      <c r="D371" s="362" t="n"/>
    </row>
    <row r="372" ht="14" customHeight="1">
      <c r="A372" s="355" t="inlineStr">
        <is>
          <t xml:space="preserve">  // ── WhatsApp preenchido? (aviso, não bloqueante) ──</t>
        </is>
      </c>
      <c r="D372" s="362" t="n"/>
    </row>
    <row r="373" ht="14" customHeight="1">
      <c r="A373" s="355" t="inlineStr">
        <is>
          <t xml:space="preserve">  var telefone = wsCliente.getRange(CONFIG.celulaTelefone).getValue();</t>
        </is>
      </c>
      <c r="D373" s="362" t="n"/>
    </row>
    <row r="374" ht="14" customHeight="1">
      <c r="A374" s="355" t="inlineStr">
        <is>
          <t xml:space="preserve">  if (!telefone) {</t>
        </is>
      </c>
      <c r="D374" s="362" t="n"/>
    </row>
    <row r="375" ht="14" customHeight="1">
      <c r="A375" s="355" t="inlineStr">
        <is>
          <t xml:space="preserve">    avisos.push("⚠️ WhatsApp do cliente não preenchido (necessário para envio)");</t>
        </is>
      </c>
      <c r="D375" s="362" t="n"/>
    </row>
    <row r="376" ht="14" customHeight="1">
      <c r="A376" s="355" t="inlineStr">
        <is>
          <t xml:space="preserve">  }</t>
        </is>
      </c>
      <c r="D376" s="362" t="n"/>
    </row>
    <row r="377" ht="14" customHeight="1">
      <c r="A377" s="355" t="inlineStr"/>
      <c r="D377" s="362" t="n"/>
    </row>
    <row r="378" ht="14" customHeight="1">
      <c r="A378" s="355" t="inlineStr">
        <is>
          <t xml:space="preserve">  var resultado = {</t>
        </is>
      </c>
      <c r="D378" s="362" t="n"/>
    </row>
    <row r="379" ht="14" customHeight="1">
      <c r="A379" s="355" t="inlineStr">
        <is>
          <t xml:space="preserve">    ok:        problemas.length === 0,</t>
        </is>
      </c>
      <c r="D379" s="362" t="n"/>
    </row>
    <row r="380" ht="14" customHeight="1">
      <c r="A380" s="355" t="inlineStr">
        <is>
          <t xml:space="preserve">    problemas: problemas,</t>
        </is>
      </c>
      <c r="D380" s="362" t="n"/>
    </row>
    <row r="381" ht="14" customHeight="1">
      <c r="A381" s="355" t="inlineStr">
        <is>
          <t xml:space="preserve">    avisos:    avisos</t>
        </is>
      </c>
      <c r="D381" s="362" t="n"/>
    </row>
    <row r="382" ht="14" customHeight="1">
      <c r="A382" s="355" t="inlineStr">
        <is>
          <t xml:space="preserve">  };</t>
        </is>
      </c>
      <c r="D382" s="362" t="n"/>
    </row>
    <row r="383" ht="14" customHeight="1">
      <c r="A383" s="355" t="inlineStr"/>
      <c r="D383" s="362" t="n"/>
    </row>
    <row r="384" ht="14" customHeight="1">
      <c r="A384" s="355" t="inlineStr">
        <is>
          <t xml:space="preserve">  // Exibir resultado se não for chamada silenciosa</t>
        </is>
      </c>
      <c r="D384" s="362" t="n"/>
    </row>
    <row r="385" ht="14" customHeight="1">
      <c r="A385" s="355" t="inlineStr">
        <is>
          <t xml:space="preserve">  if (!silencioso) {</t>
        </is>
      </c>
      <c r="D385" s="362" t="n"/>
    </row>
    <row r="386" ht="14" customHeight="1">
      <c r="A386" s="355" t="inlineStr">
        <is>
          <t xml:space="preserve">    var ui = SpreadsheetApp.getUi();</t>
        </is>
      </c>
      <c r="D386" s="362" t="n"/>
    </row>
    <row r="387" ht="14" customHeight="1">
      <c r="A387" s="355" t="inlineStr">
        <is>
          <t xml:space="preserve">    if (resultado.ok &amp;&amp; avisos.length === 0) {</t>
        </is>
      </c>
      <c r="D387" s="362" t="n"/>
    </row>
    <row r="388" ht="14" customHeight="1">
      <c r="A388" s="355" t="inlineStr">
        <is>
          <t xml:space="preserve">      ui.alert("✅ Tudo pronto!",</t>
        </is>
      </c>
      <c r="D388" s="362" t="n"/>
    </row>
    <row r="389" ht="14" customHeight="1">
      <c r="A389" s="355" t="inlineStr">
        <is>
          <t xml:space="preserve">        "Todos os campos obrigatórios estão preenchidos.\\nPode gerar o PDF!",</t>
        </is>
      </c>
      <c r="D389" s="362" t="n"/>
    </row>
    <row r="390" ht="14" customHeight="1">
      <c r="A390" s="355" t="inlineStr">
        <is>
          <t xml:space="preserve">        ui.ButtonSet.OK);</t>
        </is>
      </c>
      <c r="D390" s="362" t="n"/>
    </row>
    <row r="391" ht="14" customHeight="1">
      <c r="A391" s="355" t="inlineStr">
        <is>
          <t xml:space="preserve">    } else {</t>
        </is>
      </c>
      <c r="D391" s="362" t="n"/>
    </row>
    <row r="392" ht="14" customHeight="1">
      <c r="A392" s="355" t="inlineStr">
        <is>
          <t xml:space="preserve">      var msg = "";</t>
        </is>
      </c>
      <c r="D392" s="362" t="n"/>
    </row>
    <row r="393" ht="14" customHeight="1">
      <c r="A393" s="355" t="inlineStr">
        <is>
          <t xml:space="preserve">      if (problemas.length &gt; 0) msg += "PROBLEMAS (impedem o PDF):\\n" + problemas.join("\\n") + "\\n\\n";</t>
        </is>
      </c>
      <c r="D393" s="362" t="n"/>
    </row>
    <row r="394" ht="14" customHeight="1">
      <c r="A394" s="355" t="inlineStr">
        <is>
          <t xml:space="preserve">      if (avisos.length &gt; 0)    msg += "AVISOS (não impedem):\\n" + avisos.join("\\n");</t>
        </is>
      </c>
      <c r="D394" s="362" t="n"/>
    </row>
    <row r="395" ht="14" customHeight="1">
      <c r="A395" s="355" t="inlineStr">
        <is>
          <t xml:space="preserve">      ui.alert(resultado.ok ? "⚠️ Avisos" : "❌ Campos incompletos", msg, ui.ButtonSet.OK);</t>
        </is>
      </c>
      <c r="D395" s="362" t="n"/>
    </row>
    <row r="396" ht="14" customHeight="1">
      <c r="A396" s="355" t="inlineStr">
        <is>
          <t xml:space="preserve">    }</t>
        </is>
      </c>
      <c r="D396" s="362" t="n"/>
    </row>
    <row r="397" ht="14" customHeight="1">
      <c r="A397" s="355" t="inlineStr">
        <is>
          <t xml:space="preserve">  }</t>
        </is>
      </c>
      <c r="D397" s="362" t="n"/>
    </row>
    <row r="398" ht="14" customHeight="1">
      <c r="A398" s="355" t="inlineStr"/>
      <c r="D398" s="362" t="n"/>
    </row>
    <row r="399" ht="14" customHeight="1">
      <c r="A399" s="355" t="inlineStr">
        <is>
          <t xml:space="preserve">  return resultado;</t>
        </is>
      </c>
      <c r="D399" s="362" t="n"/>
    </row>
    <row r="400" ht="14" customHeight="1">
      <c r="A400" s="355" t="inlineStr">
        <is>
          <t>}</t>
        </is>
      </c>
      <c r="D400" s="362" t="n"/>
    </row>
    <row r="401" ht="14" customHeight="1">
      <c r="A401" s="355" t="inlineStr"/>
      <c r="D401" s="362" t="n"/>
    </row>
    <row r="402" ht="14" customHeight="1">
      <c r="A402" s="355" t="inlineStr">
        <is>
          <t>// ================================================================</t>
        </is>
      </c>
      <c r="D402" s="362" t="n"/>
    </row>
    <row r="403" ht="14" customHeight="1">
      <c r="A403" s="355" t="inlineStr">
        <is>
          <t>// 🔧  onOpen() — Cria menu personalizado ao abrir a planilha</t>
        </is>
      </c>
      <c r="D403" s="362" t="n"/>
    </row>
    <row r="404" ht="14" customHeight="1">
      <c r="A404" s="355" t="inlineStr">
        <is>
          <t>// ================================================================</t>
        </is>
      </c>
      <c r="D404" s="362" t="n"/>
    </row>
    <row r="405" ht="14" customHeight="1">
      <c r="A405" s="355" t="inlineStr">
        <is>
          <t>function onOpen() {</t>
        </is>
      </c>
      <c r="D405" s="362" t="n"/>
    </row>
    <row r="406" ht="14" customHeight="1">
      <c r="A406" s="355" t="inlineStr">
        <is>
          <t xml:space="preserve">  var ui = SpreadsheetApp.getUi();</t>
        </is>
      </c>
      <c r="D406" s="362" t="n"/>
    </row>
    <row r="407" ht="14" customHeight="1">
      <c r="A407" s="355" t="inlineStr">
        <is>
          <t xml:space="preserve">  ui.createMenu("🏡 Feng Shui")</t>
        </is>
      </c>
      <c r="D407" s="362" t="n"/>
    </row>
    <row r="408" ht="14" customHeight="1">
      <c r="A408" s="355" t="inlineStr">
        <is>
          <t xml:space="preserve">    .addItem("✅ Validar preenchimento",       "validarPreenchimento")</t>
        </is>
      </c>
      <c r="D408" s="362" t="n"/>
    </row>
    <row r="409" ht="14" customHeight="1">
      <c r="A409" s="355" t="inlineStr">
        <is>
          <t xml:space="preserve">    .addSeparator()</t>
        </is>
      </c>
      <c r="D409" s="362" t="n"/>
    </row>
    <row r="410" ht="14" customHeight="1">
      <c r="A410" s="355" t="inlineStr">
        <is>
          <t xml:space="preserve">    .addItem("📄 Gerar PDF do Relatório",      "gerarPDF")</t>
        </is>
      </c>
      <c r="D410" s="362" t="n"/>
    </row>
    <row r="411" ht="14" customHeight="1">
      <c r="A411" s="355" t="inlineStr">
        <is>
          <t xml:space="preserve">    .addItem("📱 Enviar por WhatsApp",          "enviarWhatsApp")</t>
        </is>
      </c>
      <c r="D411" s="362" t="n"/>
    </row>
    <row r="412" ht="14" customHeight="1">
      <c r="A412" s="355" t="inlineStr">
        <is>
          <t xml:space="preserve">    .addSeparator()</t>
        </is>
      </c>
      <c r="D412" s="362" t="n"/>
    </row>
    <row r="413" ht="14" customHeight="1">
      <c r="A413" s="355" t="inlineStr">
        <is>
          <t xml:space="preserve">    .addItem("💾 Salvar snapshot do histórico", "salvarSnapshotHistorico")</t>
        </is>
      </c>
      <c r="D413" s="362" t="n"/>
    </row>
    <row r="414" ht="14" customHeight="1">
      <c r="A414" s="355" t="inlineStr">
        <is>
          <t xml:space="preserve">    .addItem("🗑️ Limpar para nova consulta",   "limparParaNovaConsulta")</t>
        </is>
      </c>
      <c r="D414" s="362" t="n"/>
    </row>
    <row r="415" ht="14" customHeight="1">
      <c r="A415" s="355" t="inlineStr">
        <is>
          <t xml:space="preserve">    .addSeparator()</t>
        </is>
      </c>
      <c r="D415" s="362" t="n"/>
    </row>
    <row r="416" ht="14" customHeight="1">
      <c r="A416" s="355" t="inlineStr">
        <is>
          <t xml:space="preserve">    .addItem("ℹ️ Sobre",                        "sobre")</t>
        </is>
      </c>
      <c r="D416" s="362" t="n"/>
    </row>
    <row r="417" ht="14" customHeight="1">
      <c r="A417" s="355" t="inlineStr">
        <is>
          <t xml:space="preserve">    .addToUi();</t>
        </is>
      </c>
      <c r="D417" s="362" t="n"/>
    </row>
    <row r="418" ht="14" customHeight="1">
      <c r="A418" s="355" t="inlineStr">
        <is>
          <t>}</t>
        </is>
      </c>
      <c r="D418" s="362" t="n"/>
    </row>
    <row r="419" ht="14" customHeight="1">
      <c r="A419" s="355" t="inlineStr"/>
      <c r="D419" s="362" t="n"/>
    </row>
    <row r="420" ht="14" customHeight="1">
      <c r="A420" s="355" t="inlineStr">
        <is>
          <t>function sobre() {</t>
        </is>
      </c>
      <c r="D420" s="362" t="n"/>
    </row>
    <row r="421" ht="14" customHeight="1">
      <c r="A421" s="355" t="inlineStr">
        <is>
          <t xml:space="preserve">  SpreadsheetApp.getUi().alert(</t>
        </is>
      </c>
      <c r="D421" s="362" t="n"/>
    </row>
    <row r="422" ht="14" customHeight="1">
      <c r="A422" s="355" t="inlineStr">
        <is>
          <t xml:space="preserve">    "🏡 Feng Shui Chapéu Preto — Sistema do Consultor",</t>
        </is>
      </c>
      <c r="D422" s="362" t="n"/>
    </row>
    <row r="423" ht="14" customHeight="1">
      <c r="A423" s="355" t="inlineStr">
        <is>
          <t xml:space="preserve">    "Versão: 3.2\\n\\nMacros disponíveis no menu 🏡 Feng Shui:\\n" +</t>
        </is>
      </c>
      <c r="D423" s="362" t="n"/>
    </row>
    <row r="424" ht="14" customHeight="1">
      <c r="A424" s="355" t="inlineStr">
        <is>
          <t xml:space="preserve">    "1. Validar preenchimento\\n" +</t>
        </is>
      </c>
      <c r="D424" s="362" t="n"/>
    </row>
    <row r="425" ht="14" customHeight="1">
      <c r="A425" s="355" t="inlineStr">
        <is>
          <t xml:space="preserve">    "2. Gerar PDF\\n" +</t>
        </is>
      </c>
      <c r="D425" s="362" t="n"/>
    </row>
    <row r="426" ht="14" customHeight="1">
      <c r="A426" s="355" t="inlineStr">
        <is>
          <t xml:space="preserve">    "3. Enviar por WhatsApp\\n" +</t>
        </is>
      </c>
      <c r="D426" s="362" t="n"/>
    </row>
    <row r="427" ht="14" customHeight="1">
      <c r="A427" s="355" t="inlineStr">
        <is>
          <t xml:space="preserve">    "4. Salvar snapshot histórico\\n" +</t>
        </is>
      </c>
      <c r="D427" s="362" t="n"/>
    </row>
    <row r="428" ht="14" customHeight="1">
      <c r="A428" s="355" t="inlineStr">
        <is>
          <t xml:space="preserve">    "5. Limpar para nova consulta\\n\\n" +</t>
        </is>
      </c>
      <c r="D428" s="362" t="n"/>
    </row>
    <row r="429" ht="14" customHeight="1">
      <c r="A429" s="355" t="inlineStr">
        <is>
          <t xml:space="preserve">    "Senha de proteção: fengshui2026",</t>
        </is>
      </c>
      <c r="D429" s="362" t="n"/>
    </row>
    <row r="430" ht="14" customHeight="1">
      <c r="A430" s="355" t="inlineStr">
        <is>
          <t xml:space="preserve">    SpreadsheetApp.getUi().ButtonSet.OK</t>
        </is>
      </c>
      <c r="D430" s="362" t="n"/>
    </row>
    <row r="431" ht="14" customHeight="1">
      <c r="A431" s="355" t="inlineStr">
        <is>
          <t xml:space="preserve">  );</t>
        </is>
      </c>
      <c r="D431" s="362" t="n"/>
    </row>
    <row r="432" ht="14" customHeight="1">
      <c r="A432" s="355" t="inlineStr">
        <is>
          <t>}</t>
        </is>
      </c>
      <c r="D432" s="362" t="n"/>
    </row>
    <row r="433" ht="4" customHeight="1">
      <c r="A433" s="356" t="inlineStr"/>
      <c r="B433" s="363" t="n"/>
      <c r="C433" s="363" t="n"/>
      <c r="D433" s="363" t="n"/>
    </row>
    <row r="435" ht="26" customHeight="1">
      <c r="A435" s="352" t="inlineStr">
        <is>
          <t>🚀 FLUXO DE USO RECOMENDADO — Em cada consulta</t>
        </is>
      </c>
      <c r="B435" s="13" t="n"/>
      <c r="C435" s="13" t="n"/>
      <c r="D435" s="14" t="n"/>
    </row>
    <row r="436" ht="22" customHeight="1">
      <c r="A436" s="357" t="inlineStr">
        <is>
          <t>ANTES da visita</t>
        </is>
      </c>
      <c r="B436" s="358" t="inlineStr">
        <is>
          <t>▶ Preencher 👤 Cliente → ▶ Validar preenchimento</t>
        </is>
      </c>
      <c r="C436" s="3" t="n"/>
      <c r="D436" s="4" t="n"/>
    </row>
    <row r="437" ht="22" customHeight="1">
      <c r="A437" s="357" t="inlineStr">
        <is>
          <t>Durante a visita</t>
        </is>
      </c>
      <c r="B437" s="358" t="inlineStr">
        <is>
          <t>▶ Ba Gua Automático → ▶ Diagnóstico (células azuis)</t>
        </is>
      </c>
      <c r="C437" s="3" t="n"/>
      <c r="D437" s="4" t="n"/>
    </row>
    <row r="438" ht="22" customHeight="1">
      <c r="A438" s="357" t="inlineStr">
        <is>
          <t>Após a visita</t>
        </is>
      </c>
      <c r="B438" s="358" t="inlineStr">
        <is>
          <t>▶ Validar preenchimento → ▶ Gerar PDF → ▶ Enviar WhatsApp</t>
        </is>
      </c>
      <c r="C438" s="3" t="n"/>
      <c r="D438" s="4" t="n"/>
    </row>
    <row r="439" ht="22" customHeight="1">
      <c r="A439" s="357" t="inlineStr">
        <is>
          <t>Antes de limpar</t>
        </is>
      </c>
      <c r="B439" s="358" t="inlineStr">
        <is>
          <t>▶ Salvar snapshot histórico → ▶ Limpar para nova consulta</t>
        </is>
      </c>
      <c r="C439" s="3" t="n"/>
      <c r="D439" s="4" t="n"/>
    </row>
  </sheetData>
  <mergeCells count="444">
    <mergeCell ref="A263:D263"/>
    <mergeCell ref="A29:D29"/>
    <mergeCell ref="A134:D134"/>
    <mergeCell ref="A200:D200"/>
    <mergeCell ref="A265:D265"/>
    <mergeCell ref="A121:D121"/>
    <mergeCell ref="A357:D357"/>
    <mergeCell ref="A44:D44"/>
    <mergeCell ref="A31:D31"/>
    <mergeCell ref="A202:D202"/>
    <mergeCell ref="A58:D58"/>
    <mergeCell ref="A258:D258"/>
    <mergeCell ref="A329:D329"/>
    <mergeCell ref="A421:D421"/>
    <mergeCell ref="A304:D304"/>
    <mergeCell ref="A24:D24"/>
    <mergeCell ref="A73:D73"/>
    <mergeCell ref="A266:D266"/>
    <mergeCell ref="A260:D260"/>
    <mergeCell ref="A60:D60"/>
    <mergeCell ref="A358:D358"/>
    <mergeCell ref="A124:D124"/>
    <mergeCell ref="A422:D422"/>
    <mergeCell ref="A360:D360"/>
    <mergeCell ref="A164:D164"/>
    <mergeCell ref="A335:D335"/>
    <mergeCell ref="A149:D149"/>
    <mergeCell ref="A385:D385"/>
    <mergeCell ref="A195:D195"/>
    <mergeCell ref="A251:D251"/>
    <mergeCell ref="A42:D42"/>
    <mergeCell ref="A17:D17"/>
    <mergeCell ref="A188:D188"/>
    <mergeCell ref="A126:D126"/>
    <mergeCell ref="A259:D259"/>
    <mergeCell ref="A253:D253"/>
    <mergeCell ref="A53:D53"/>
    <mergeCell ref="A424:D424"/>
    <mergeCell ref="B8:D8"/>
    <mergeCell ref="A240:D240"/>
    <mergeCell ref="A411:D411"/>
    <mergeCell ref="B437:D437"/>
    <mergeCell ref="A19:D19"/>
    <mergeCell ref="A190:D190"/>
    <mergeCell ref="A117:D117"/>
    <mergeCell ref="A111:D111"/>
    <mergeCell ref="A353:D353"/>
    <mergeCell ref="B10:D10"/>
    <mergeCell ref="A48:D48"/>
    <mergeCell ref="A319:D319"/>
    <mergeCell ref="A142:D142"/>
    <mergeCell ref="B5:D5"/>
    <mergeCell ref="A79:D79"/>
    <mergeCell ref="A429:D429"/>
    <mergeCell ref="A137:D137"/>
    <mergeCell ref="A208:D208"/>
    <mergeCell ref="A330:D330"/>
    <mergeCell ref="A268:D268"/>
    <mergeCell ref="A379:D379"/>
    <mergeCell ref="A366:D366"/>
    <mergeCell ref="A74:D74"/>
    <mergeCell ref="A145:D145"/>
    <mergeCell ref="A139:D139"/>
    <mergeCell ref="A272:D272"/>
    <mergeCell ref="A210:D210"/>
    <mergeCell ref="A381:D381"/>
    <mergeCell ref="A76:D76"/>
    <mergeCell ref="A203:D203"/>
    <mergeCell ref="A374:D374"/>
    <mergeCell ref="A140:D140"/>
    <mergeCell ref="A63:D63"/>
    <mergeCell ref="A92:D92"/>
    <mergeCell ref="A279:D279"/>
    <mergeCell ref="A350:D350"/>
    <mergeCell ref="A300:D300"/>
    <mergeCell ref="A45:D45"/>
    <mergeCell ref="A94:D94"/>
    <mergeCell ref="A287:D287"/>
    <mergeCell ref="A343:D343"/>
    <mergeCell ref="A281:D281"/>
    <mergeCell ref="A69:D69"/>
    <mergeCell ref="A367:D367"/>
    <mergeCell ref="A256:D256"/>
    <mergeCell ref="A427:D427"/>
    <mergeCell ref="A87:D87"/>
    <mergeCell ref="A354:D354"/>
    <mergeCell ref="A345:D345"/>
    <mergeCell ref="A133:D133"/>
    <mergeCell ref="A193:D193"/>
    <mergeCell ref="A264:D264"/>
    <mergeCell ref="A369:D369"/>
    <mergeCell ref="A418:D418"/>
    <mergeCell ref="A89:D89"/>
    <mergeCell ref="A356:D356"/>
    <mergeCell ref="A234:D234"/>
    <mergeCell ref="A38:D38"/>
    <mergeCell ref="A209:D209"/>
    <mergeCell ref="A147:D147"/>
    <mergeCell ref="A280:D280"/>
    <mergeCell ref="A380:D380"/>
    <mergeCell ref="A274:D274"/>
    <mergeCell ref="A432:D432"/>
    <mergeCell ref="A40:D40"/>
    <mergeCell ref="A211:D211"/>
    <mergeCell ref="A67:D67"/>
    <mergeCell ref="A338:D338"/>
    <mergeCell ref="A382:D382"/>
    <mergeCell ref="A148:D148"/>
    <mergeCell ref="A82:D82"/>
    <mergeCell ref="A275:D275"/>
    <mergeCell ref="A340:D340"/>
    <mergeCell ref="A146:D146"/>
    <mergeCell ref="A6:D6"/>
    <mergeCell ref="A66:D66"/>
    <mergeCell ref="A158:D158"/>
    <mergeCell ref="A351:D351"/>
    <mergeCell ref="A3:D3"/>
    <mergeCell ref="A301:D301"/>
    <mergeCell ref="A239:D239"/>
    <mergeCell ref="A95:D95"/>
    <mergeCell ref="A393:D393"/>
    <mergeCell ref="A160:D160"/>
    <mergeCell ref="A331:D331"/>
    <mergeCell ref="A5:D5"/>
    <mergeCell ref="A303:D303"/>
    <mergeCell ref="A159:D159"/>
    <mergeCell ref="A122:D122"/>
    <mergeCell ref="A97:D97"/>
    <mergeCell ref="A420:D420"/>
    <mergeCell ref="A224:D224"/>
    <mergeCell ref="A395:D395"/>
    <mergeCell ref="A72:D72"/>
    <mergeCell ref="A161:D161"/>
    <mergeCell ref="A288:D288"/>
    <mergeCell ref="A250:D250"/>
    <mergeCell ref="A54:D54"/>
    <mergeCell ref="A41:D41"/>
    <mergeCell ref="A16:D16"/>
    <mergeCell ref="A212:D212"/>
    <mergeCell ref="A283:D283"/>
    <mergeCell ref="A277:D277"/>
    <mergeCell ref="A108:D108"/>
    <mergeCell ref="A375:D375"/>
    <mergeCell ref="A56:D56"/>
    <mergeCell ref="A27:D27"/>
    <mergeCell ref="A154:D154"/>
    <mergeCell ref="A214:D214"/>
    <mergeCell ref="A285:D285"/>
    <mergeCell ref="A341:D341"/>
    <mergeCell ref="A390:D390"/>
    <mergeCell ref="A306:D306"/>
    <mergeCell ref="A85:D85"/>
    <mergeCell ref="A278:D278"/>
    <mergeCell ref="A22:D22"/>
    <mergeCell ref="A230:D230"/>
    <mergeCell ref="A401:D401"/>
    <mergeCell ref="A9:D9"/>
    <mergeCell ref="A167:D167"/>
    <mergeCell ref="A232:D232"/>
    <mergeCell ref="A403:D403"/>
    <mergeCell ref="A11:D11"/>
    <mergeCell ref="A182:D182"/>
    <mergeCell ref="A98:D98"/>
    <mergeCell ref="A169:D169"/>
    <mergeCell ref="A225:D225"/>
    <mergeCell ref="A396:D396"/>
    <mergeCell ref="A296:D296"/>
    <mergeCell ref="A162:D162"/>
    <mergeCell ref="A227:D227"/>
    <mergeCell ref="A398:D398"/>
    <mergeCell ref="A177:D177"/>
    <mergeCell ref="A179:D179"/>
    <mergeCell ref="A302:D302"/>
    <mergeCell ref="A322:D322"/>
    <mergeCell ref="A116:D116"/>
    <mergeCell ref="A309:D309"/>
    <mergeCell ref="A414:D414"/>
    <mergeCell ref="A91:D91"/>
    <mergeCell ref="A389:D389"/>
    <mergeCell ref="A327:D327"/>
    <mergeCell ref="A109:D109"/>
    <mergeCell ref="A324:D324"/>
    <mergeCell ref="A180:D180"/>
    <mergeCell ref="A416:D416"/>
    <mergeCell ref="A299:D299"/>
    <mergeCell ref="A155:D155"/>
    <mergeCell ref="A293:D293"/>
    <mergeCell ref="A93:D93"/>
    <mergeCell ref="A68:D68"/>
    <mergeCell ref="A391:D391"/>
    <mergeCell ref="A157:D157"/>
    <mergeCell ref="A328:D328"/>
    <mergeCell ref="A246:D246"/>
    <mergeCell ref="A317:D317"/>
    <mergeCell ref="A233:D233"/>
    <mergeCell ref="A37:D37"/>
    <mergeCell ref="A12:D12"/>
    <mergeCell ref="A248:D248"/>
    <mergeCell ref="A104:D104"/>
    <mergeCell ref="A297:D297"/>
    <mergeCell ref="A235:D235"/>
    <mergeCell ref="A406:D406"/>
    <mergeCell ref="A247:D247"/>
    <mergeCell ref="A14:D14"/>
    <mergeCell ref="A185:D185"/>
    <mergeCell ref="A312:D312"/>
    <mergeCell ref="A106:D106"/>
    <mergeCell ref="A404:D404"/>
    <mergeCell ref="A43:D43"/>
    <mergeCell ref="A170:D170"/>
    <mergeCell ref="A130:D130"/>
    <mergeCell ref="A201:D201"/>
    <mergeCell ref="A261:D261"/>
    <mergeCell ref="A138:D138"/>
    <mergeCell ref="A132:D132"/>
    <mergeCell ref="A325:D325"/>
    <mergeCell ref="A430:D430"/>
    <mergeCell ref="A119:D119"/>
    <mergeCell ref="A417:D417"/>
    <mergeCell ref="A25:D25"/>
    <mergeCell ref="A196:D196"/>
    <mergeCell ref="A183:D183"/>
    <mergeCell ref="A419:D419"/>
    <mergeCell ref="A394:D394"/>
    <mergeCell ref="A198:D198"/>
    <mergeCell ref="A254:D254"/>
    <mergeCell ref="A20:D20"/>
    <mergeCell ref="A318:D318"/>
    <mergeCell ref="A112:D112"/>
    <mergeCell ref="A348:D348"/>
    <mergeCell ref="A13:D13"/>
    <mergeCell ref="A372:D372"/>
    <mergeCell ref="A249:D249"/>
    <mergeCell ref="A320:D320"/>
    <mergeCell ref="A176:D176"/>
    <mergeCell ref="A314:D314"/>
    <mergeCell ref="A114:D114"/>
    <mergeCell ref="A347:D347"/>
    <mergeCell ref="A412:D412"/>
    <mergeCell ref="A15:D15"/>
    <mergeCell ref="A64:D64"/>
    <mergeCell ref="A186:D186"/>
    <mergeCell ref="A257:D257"/>
    <mergeCell ref="B438:D438"/>
    <mergeCell ref="A51:D51"/>
    <mergeCell ref="A107:D107"/>
    <mergeCell ref="A178:D178"/>
    <mergeCell ref="B6:D6"/>
    <mergeCell ref="A349:D349"/>
    <mergeCell ref="A315:D315"/>
    <mergeCell ref="B4:D4"/>
    <mergeCell ref="A252:D252"/>
    <mergeCell ref="A267:D267"/>
    <mergeCell ref="A425:D425"/>
    <mergeCell ref="A33:D33"/>
    <mergeCell ref="A204:D204"/>
    <mergeCell ref="A269:D269"/>
    <mergeCell ref="A141:D141"/>
    <mergeCell ref="A135:D135"/>
    <mergeCell ref="A377:D377"/>
    <mergeCell ref="A35:D35"/>
    <mergeCell ref="A206:D206"/>
    <mergeCell ref="A62:D62"/>
    <mergeCell ref="A262:D262"/>
    <mergeCell ref="A333:D333"/>
    <mergeCell ref="A433:D433"/>
    <mergeCell ref="A28:D28"/>
    <mergeCell ref="A199:D199"/>
    <mergeCell ref="A435:D435"/>
    <mergeCell ref="A362:D362"/>
    <mergeCell ref="A245:D245"/>
    <mergeCell ref="A30:D30"/>
    <mergeCell ref="A59:D59"/>
    <mergeCell ref="A61:D61"/>
    <mergeCell ref="A88:D88"/>
    <mergeCell ref="A359:D359"/>
    <mergeCell ref="A153:D153"/>
    <mergeCell ref="A346:D346"/>
    <mergeCell ref="A128:D128"/>
    <mergeCell ref="A426:D426"/>
    <mergeCell ref="A364:D364"/>
    <mergeCell ref="A90:D90"/>
    <mergeCell ref="A413:D413"/>
    <mergeCell ref="A217:D217"/>
    <mergeCell ref="A388:D388"/>
    <mergeCell ref="B439:D439"/>
    <mergeCell ref="A136:D136"/>
    <mergeCell ref="A192:D192"/>
    <mergeCell ref="A428:D428"/>
    <mergeCell ref="A415:D415"/>
    <mergeCell ref="A129:D129"/>
    <mergeCell ref="A194:D194"/>
    <mergeCell ref="A181:D181"/>
    <mergeCell ref="A131:D131"/>
    <mergeCell ref="A52:D52"/>
    <mergeCell ref="B436:D436"/>
    <mergeCell ref="A295:D295"/>
    <mergeCell ref="A352:D352"/>
    <mergeCell ref="A34:D34"/>
    <mergeCell ref="A83:D83"/>
    <mergeCell ref="A143:D143"/>
    <mergeCell ref="A276:D276"/>
    <mergeCell ref="A270:D270"/>
    <mergeCell ref="A368:D368"/>
    <mergeCell ref="A49:D49"/>
    <mergeCell ref="A36:D36"/>
    <mergeCell ref="A207:D207"/>
    <mergeCell ref="A334:D334"/>
    <mergeCell ref="A383:D383"/>
    <mergeCell ref="A370:D370"/>
    <mergeCell ref="A78:D78"/>
    <mergeCell ref="A271:D271"/>
    <mergeCell ref="A205:D205"/>
    <mergeCell ref="A65:D65"/>
    <mergeCell ref="A363:D363"/>
    <mergeCell ref="A80:D80"/>
    <mergeCell ref="A273:D273"/>
    <mergeCell ref="A378:D378"/>
    <mergeCell ref="A365:D365"/>
    <mergeCell ref="A298:D298"/>
    <mergeCell ref="A4:D4"/>
    <mergeCell ref="A156:D156"/>
    <mergeCell ref="A220:D220"/>
    <mergeCell ref="A431:D431"/>
    <mergeCell ref="A284:D284"/>
    <mergeCell ref="A222:D222"/>
    <mergeCell ref="A197:D197"/>
    <mergeCell ref="A84:D84"/>
    <mergeCell ref="A75:D75"/>
    <mergeCell ref="A50:D50"/>
    <mergeCell ref="A409:D409"/>
    <mergeCell ref="A86:D86"/>
    <mergeCell ref="A213:D213"/>
    <mergeCell ref="A384:D384"/>
    <mergeCell ref="A151:D151"/>
    <mergeCell ref="A175:D175"/>
    <mergeCell ref="A150:D150"/>
    <mergeCell ref="A321:D321"/>
    <mergeCell ref="A144:D144"/>
    <mergeCell ref="A215:D215"/>
    <mergeCell ref="A386:D386"/>
    <mergeCell ref="A373:D373"/>
    <mergeCell ref="A81:D81"/>
    <mergeCell ref="A152:D152"/>
    <mergeCell ref="A323:D323"/>
    <mergeCell ref="A289:D289"/>
    <mergeCell ref="A226:D226"/>
    <mergeCell ref="A291:D291"/>
    <mergeCell ref="A70:D70"/>
    <mergeCell ref="A241:D241"/>
    <mergeCell ref="A228:D228"/>
    <mergeCell ref="A399:D399"/>
    <mergeCell ref="A355:D355"/>
    <mergeCell ref="A7:D7"/>
    <mergeCell ref="A172:D172"/>
    <mergeCell ref="A305:D305"/>
    <mergeCell ref="A243:D243"/>
    <mergeCell ref="A99:D99"/>
    <mergeCell ref="A221:D221"/>
    <mergeCell ref="A292:D292"/>
    <mergeCell ref="A397:D397"/>
    <mergeCell ref="A286:D286"/>
    <mergeCell ref="A236:D236"/>
    <mergeCell ref="A163:D163"/>
    <mergeCell ref="A101:D101"/>
    <mergeCell ref="A223:D223"/>
    <mergeCell ref="A294:D294"/>
    <mergeCell ref="A361:D361"/>
    <mergeCell ref="A311:D311"/>
    <mergeCell ref="A125:D125"/>
    <mergeCell ref="A392:D392"/>
    <mergeCell ref="A127:D127"/>
    <mergeCell ref="B9:D9"/>
    <mergeCell ref="A216:D216"/>
    <mergeCell ref="A191:D191"/>
    <mergeCell ref="A387:D387"/>
    <mergeCell ref="A218:D218"/>
    <mergeCell ref="A316:D316"/>
    <mergeCell ref="A46:D46"/>
    <mergeCell ref="A282:D282"/>
    <mergeCell ref="A105:D105"/>
    <mergeCell ref="A376:D376"/>
    <mergeCell ref="A26:D26"/>
    <mergeCell ref="A71:D71"/>
    <mergeCell ref="A242:D242"/>
    <mergeCell ref="A313:D313"/>
    <mergeCell ref="A307:D307"/>
    <mergeCell ref="A405:D405"/>
    <mergeCell ref="A8:D8"/>
    <mergeCell ref="A184:D184"/>
    <mergeCell ref="A244:D244"/>
    <mergeCell ref="A100:D100"/>
    <mergeCell ref="A371:D371"/>
    <mergeCell ref="A171:D171"/>
    <mergeCell ref="A342:D342"/>
    <mergeCell ref="A231:D231"/>
    <mergeCell ref="A165:D165"/>
    <mergeCell ref="A336:D336"/>
    <mergeCell ref="A407:D407"/>
    <mergeCell ref="A10:D10"/>
    <mergeCell ref="A115:D115"/>
    <mergeCell ref="A308:D308"/>
    <mergeCell ref="A102:D102"/>
    <mergeCell ref="A173:D173"/>
    <mergeCell ref="A229:D229"/>
    <mergeCell ref="A344:D344"/>
    <mergeCell ref="A400:D400"/>
    <mergeCell ref="A77:D77"/>
    <mergeCell ref="A39:D39"/>
    <mergeCell ref="A310:D310"/>
    <mergeCell ref="A166:D166"/>
    <mergeCell ref="A337:D337"/>
    <mergeCell ref="A402:D402"/>
    <mergeCell ref="A103:D103"/>
    <mergeCell ref="A168:D168"/>
    <mergeCell ref="A339:D339"/>
    <mergeCell ref="A255:D255"/>
    <mergeCell ref="A326:D326"/>
    <mergeCell ref="A120:D120"/>
    <mergeCell ref="A21:D21"/>
    <mergeCell ref="A57:D57"/>
    <mergeCell ref="A113:D113"/>
    <mergeCell ref="A32:D32"/>
    <mergeCell ref="A219:D219"/>
    <mergeCell ref="A23:D23"/>
    <mergeCell ref="A1:D2"/>
    <mergeCell ref="A290:D290"/>
    <mergeCell ref="A96:D96"/>
    <mergeCell ref="A332:D332"/>
    <mergeCell ref="A123:D123"/>
    <mergeCell ref="A110:D110"/>
    <mergeCell ref="A237:D237"/>
    <mergeCell ref="A408:D408"/>
    <mergeCell ref="A187:D187"/>
    <mergeCell ref="A423:D423"/>
    <mergeCell ref="A174:D174"/>
    <mergeCell ref="B7:D7"/>
    <mergeCell ref="A410:D410"/>
    <mergeCell ref="A118:D118"/>
    <mergeCell ref="A18:D18"/>
    <mergeCell ref="A189:D189"/>
    <mergeCell ref="A238:D238"/>
    <mergeCell ref="A55:D55"/>
    <mergeCell ref="A47:D4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showGridLines="0" workbookViewId="0">
      <selection activeCell="A1" sqref="A1"/>
    </sheetView>
  </sheetViews>
  <sheetFormatPr baseColWidth="8" defaultRowHeight="15"/>
  <cols>
    <col width="16" customWidth="1" min="1" max="1"/>
    <col width="18" customWidth="1" min="2" max="2"/>
    <col width="20" customWidth="1" min="3" max="3"/>
    <col width="16" customWidth="1" min="4" max="4"/>
    <col width="12" customWidth="1" min="5" max="5"/>
    <col width="16" customWidth="1" min="6" max="6"/>
    <col width="24" customWidth="1" min="7" max="7"/>
  </cols>
  <sheetData>
    <row r="1" ht="30" customHeight="1">
      <c r="A1" s="21" t="inlineStr">
        <is>
          <t>📅  CRONOGRAMA LUNAR DE RITUAIS</t>
        </is>
      </c>
    </row>
    <row r="2"/>
    <row r="3" ht="22" customHeight="1">
      <c r="A3" s="39" t="inlineStr">
        <is>
          <t>O ciclo lunar tem ~29 dias. Alinhe os rituais às fases para potencializar cada ativação.</t>
        </is>
      </c>
      <c r="B3" s="3" t="n"/>
      <c r="C3" s="3" t="n"/>
      <c r="D3" s="3" t="n"/>
      <c r="E3" s="3" t="n"/>
      <c r="F3" s="3" t="n"/>
      <c r="G3" s="4" t="n"/>
    </row>
    <row r="4">
      <c r="E4" s="249" t="n"/>
      <c r="F4" s="249" t="n"/>
      <c r="G4" s="249" t="n"/>
    </row>
    <row r="5" ht="24" customHeight="1">
      <c r="A5" s="223" t="inlineStr">
        <is>
          <t>🌑 LUA NOVA</t>
        </is>
      </c>
      <c r="B5" s="224" t="n"/>
      <c r="C5" s="224" t="n"/>
      <c r="D5" s="224" t="n"/>
      <c r="E5" s="224" t="n"/>
      <c r="F5" s="224" t="n"/>
      <c r="G5" s="225" t="n"/>
    </row>
    <row r="6" ht="22" customHeight="1">
      <c r="A6" s="226" t="inlineStr">
        <is>
          <t>Energia:</t>
        </is>
      </c>
      <c r="B6" s="227" t="inlineStr">
        <is>
          <t>Energia de plantio e intenção</t>
        </is>
      </c>
      <c r="C6" s="3" t="n"/>
      <c r="D6" s="3" t="n"/>
      <c r="E6" s="3" t="n"/>
      <c r="F6" s="3" t="n"/>
      <c r="G6" s="4" t="n"/>
    </row>
    <row r="7" ht="22" customHeight="1">
      <c r="A7" s="226" t="inlineStr">
        <is>
          <t>Ação:</t>
        </is>
      </c>
      <c r="B7" s="228" t="inlineStr">
        <is>
          <t>Limpar + Intenção</t>
        </is>
      </c>
      <c r="C7" s="3" t="n"/>
      <c r="D7" s="3" t="n"/>
      <c r="E7" s="3" t="n"/>
      <c r="F7" s="3" t="n"/>
      <c r="G7" s="4" t="n"/>
    </row>
    <row r="8" ht="40" customHeight="1">
      <c r="A8" s="226" t="inlineStr">
        <is>
          <t>Rituais:</t>
        </is>
      </c>
      <c r="B8" s="219" t="inlineStr">
        <is>
          <t>Limpeza energética geral. Organizar lavanderia (Família). Definir intenções do ciclo.</t>
        </is>
      </c>
      <c r="C8" s="3" t="n"/>
      <c r="D8" s="3" t="n"/>
      <c r="E8" s="3" t="n"/>
      <c r="F8" s="3" t="n"/>
      <c r="G8" s="4" t="n"/>
    </row>
    <row r="9">
      <c r="E9" s="249" t="n"/>
      <c r="F9" s="249" t="n"/>
      <c r="G9" s="249" t="n"/>
    </row>
    <row r="10" ht="24" customHeight="1">
      <c r="A10" s="229" t="inlineStr">
        <is>
          <t>🌒 CRESCENTE</t>
        </is>
      </c>
      <c r="B10" s="230" t="n"/>
      <c r="C10" s="230" t="n"/>
      <c r="D10" s="230" t="n"/>
      <c r="E10" s="230" t="n"/>
      <c r="F10" s="230" t="n"/>
      <c r="G10" s="231" t="n"/>
    </row>
    <row r="11" ht="22" customHeight="1">
      <c r="A11" s="232" t="inlineStr">
        <is>
          <t>Energia:</t>
        </is>
      </c>
      <c r="B11" s="233" t="inlineStr">
        <is>
          <t>Expansão — momento de ativar</t>
        </is>
      </c>
      <c r="C11" s="3" t="n"/>
      <c r="D11" s="3" t="n"/>
      <c r="E11" s="3" t="n"/>
      <c r="F11" s="3" t="n"/>
      <c r="G11" s="4" t="n"/>
    </row>
    <row r="12" ht="22" customHeight="1">
      <c r="A12" s="232" t="inlineStr">
        <is>
          <t>Ação:</t>
        </is>
      </c>
      <c r="B12" s="234" t="inlineStr">
        <is>
          <t>Ativar + Plantar</t>
        </is>
      </c>
      <c r="C12" s="3" t="n"/>
      <c r="D12" s="3" t="n"/>
      <c r="E12" s="3" t="n"/>
      <c r="F12" s="3" t="n"/>
      <c r="G12" s="4" t="n"/>
    </row>
    <row r="13" ht="40" customHeight="1">
      <c r="A13" s="232" t="inlineStr">
        <is>
          <t>Rituais:</t>
        </is>
      </c>
      <c r="B13" s="219" t="inlineStr">
        <is>
          <t>Posicionar plantas (Prosperidade, Família). Espelhos e tapetes (Carreira). Cristal citrino (Saúde).</t>
        </is>
      </c>
      <c r="C13" s="3" t="n"/>
      <c r="D13" s="3" t="n"/>
      <c r="E13" s="3" t="n"/>
      <c r="F13" s="3" t="n"/>
      <c r="G13" s="4" t="n"/>
    </row>
    <row r="14">
      <c r="E14" s="249" t="n"/>
      <c r="F14" s="249" t="n"/>
      <c r="G14" s="249" t="n"/>
    </row>
    <row r="15" ht="24" customHeight="1">
      <c r="A15" s="22" t="inlineStr">
        <is>
          <t>🌕 LUA CHEIA</t>
        </is>
      </c>
      <c r="B15" s="23" t="n"/>
      <c r="C15" s="23" t="n"/>
      <c r="D15" s="23" t="n"/>
      <c r="E15" s="23" t="n"/>
      <c r="F15" s="23" t="n"/>
      <c r="G15" s="24" t="n"/>
    </row>
    <row r="16" ht="22" customHeight="1">
      <c r="A16" s="235" t="inlineStr">
        <is>
          <t>Energia:</t>
        </is>
      </c>
      <c r="B16" s="236" t="inlineStr">
        <is>
          <t>Pico de energia — amor e fama</t>
        </is>
      </c>
      <c r="C16" s="3" t="n"/>
      <c r="D16" s="3" t="n"/>
      <c r="E16" s="3" t="n"/>
      <c r="F16" s="3" t="n"/>
      <c r="G16" s="4" t="n"/>
    </row>
    <row r="17" ht="22" customHeight="1">
      <c r="A17" s="235" t="inlineStr">
        <is>
          <t>Ação:</t>
        </is>
      </c>
      <c r="B17" s="237" t="inlineStr">
        <is>
          <t>Amplificar + Brilhar</t>
        </is>
      </c>
      <c r="C17" s="3" t="n"/>
      <c r="D17" s="3" t="n"/>
      <c r="E17" s="3" t="n"/>
      <c r="F17" s="3" t="n"/>
      <c r="G17" s="4" t="n"/>
    </row>
    <row r="18" ht="40" customHeight="1">
      <c r="A18" s="235" t="inlineStr">
        <is>
          <t>Rituais:</t>
        </is>
      </c>
      <c r="B18" s="219" t="inlineStr">
        <is>
          <t>Cristal quartzo rosa (Relacionamentos). Iluminação e obra de arte (Fama). Rituais de pares.</t>
        </is>
      </c>
      <c r="C18" s="3" t="n"/>
      <c r="D18" s="3" t="n"/>
      <c r="E18" s="3" t="n"/>
      <c r="F18" s="3" t="n"/>
      <c r="G18" s="4" t="n"/>
    </row>
    <row r="19">
      <c r="E19" s="249" t="n"/>
      <c r="F19" s="249" t="n"/>
      <c r="G19" s="249" t="n"/>
    </row>
    <row r="20" ht="24" customHeight="1">
      <c r="A20" s="167" t="inlineStr">
        <is>
          <t>🌘 MINGUANTE</t>
        </is>
      </c>
      <c r="B20" s="99" t="n"/>
      <c r="C20" s="99" t="n"/>
      <c r="D20" s="99" t="n"/>
      <c r="E20" s="99" t="n"/>
      <c r="F20" s="99" t="n"/>
      <c r="G20" s="100" t="n"/>
    </row>
    <row r="21" ht="22" customHeight="1">
      <c r="A21" s="238" t="inlineStr">
        <is>
          <t>Energia:</t>
        </is>
      </c>
      <c r="B21" s="239" t="inlineStr">
        <is>
          <t>Dissolução — soltar e renovar</t>
        </is>
      </c>
      <c r="C21" s="3" t="n"/>
      <c r="D21" s="3" t="n"/>
      <c r="E21" s="3" t="n"/>
      <c r="F21" s="3" t="n"/>
      <c r="G21" s="4" t="n"/>
    </row>
    <row r="22" ht="22" customHeight="1">
      <c r="A22" s="238" t="inlineStr">
        <is>
          <t>Ação:</t>
        </is>
      </c>
      <c r="B22" s="240" t="inlineStr">
        <is>
          <t>Soltar + Renovar</t>
        </is>
      </c>
      <c r="C22" s="3" t="n"/>
      <c r="D22" s="3" t="n"/>
      <c r="E22" s="3" t="n"/>
      <c r="F22" s="3" t="n"/>
      <c r="G22" s="4" t="n"/>
    </row>
    <row r="23" ht="40" customHeight="1">
      <c r="A23" s="238" t="inlineStr">
        <is>
          <t>Rituais:</t>
        </is>
      </c>
      <c r="B23" s="219" t="inlineStr">
        <is>
          <t>Descartar o que não serve. Roupas velhas do closet. Limpar terraço técnico.</t>
        </is>
      </c>
      <c r="C23" s="3" t="n"/>
      <c r="D23" s="3" t="n"/>
      <c r="E23" s="3" t="n"/>
      <c r="F23" s="3" t="n"/>
      <c r="G23" s="4" t="n"/>
    </row>
    <row r="24">
      <c r="E24" s="249" t="n"/>
      <c r="F24" s="249" t="n"/>
      <c r="G24" s="249" t="n"/>
    </row>
    <row r="25" ht="24" customHeight="1">
      <c r="A25" s="22" t="inlineStr">
        <is>
          <t>🔄 CICLO DE RENOVAÇÃO — 9 Semanas</t>
        </is>
      </c>
      <c r="B25" s="23" t="n"/>
      <c r="C25" s="23" t="n"/>
      <c r="D25" s="23" t="n"/>
      <c r="E25" s="23" t="n"/>
      <c r="F25" s="23" t="n"/>
      <c r="G25" s="24" t="n"/>
    </row>
    <row r="26" ht="22" customHeight="1">
      <c r="A26" s="142" t="inlineStr">
        <is>
          <t>Semana</t>
        </is>
      </c>
      <c r="B26" s="142" t="inlineStr">
        <is>
          <t>Fase</t>
        </is>
      </c>
      <c r="C26" s="142" t="inlineStr">
        <is>
          <t>Setores</t>
        </is>
      </c>
      <c r="D26" s="29" t="n"/>
      <c r="E26" s="142" t="inlineStr">
        <is>
          <t>Concluído</t>
        </is>
      </c>
      <c r="F26" s="142" t="inlineStr">
        <is>
          <t>Data</t>
        </is>
      </c>
      <c r="G26" s="142" t="inlineStr">
        <is>
          <t>Observações</t>
        </is>
      </c>
    </row>
    <row r="27" ht="22" customHeight="1">
      <c r="A27" s="241" t="inlineStr">
        <is>
          <t>Semana 1</t>
        </is>
      </c>
      <c r="B27" s="28" t="inlineStr">
        <is>
          <t>🌑 Lua Nova</t>
        </is>
      </c>
      <c r="C27" s="28" t="inlineStr">
        <is>
          <t>Limpeza Geral + Família</t>
        </is>
      </c>
      <c r="D27" s="4" t="n"/>
      <c r="E27" s="348" t="inlineStr">
        <is>
          <t>☐</t>
        </is>
      </c>
      <c r="F27" s="275" t="inlineStr"/>
      <c r="G27" s="275" t="inlineStr"/>
    </row>
    <row r="28" ht="22" customHeight="1">
      <c r="A28" s="243" t="inlineStr">
        <is>
          <t>Semana 2</t>
        </is>
      </c>
      <c r="B28" s="358" t="inlineStr">
        <is>
          <t>🌒 Crescente</t>
        </is>
      </c>
      <c r="C28" s="358" t="inlineStr">
        <is>
          <t>Prosperidade + Carreira</t>
        </is>
      </c>
      <c r="D28" s="4" t="n"/>
      <c r="E28" s="349" t="inlineStr">
        <is>
          <t>☐</t>
        </is>
      </c>
      <c r="F28" s="275" t="inlineStr"/>
      <c r="G28" s="275" t="inlineStr"/>
    </row>
    <row r="29" ht="22" customHeight="1">
      <c r="A29" s="241" t="inlineStr">
        <is>
          <t>Semana 3</t>
        </is>
      </c>
      <c r="B29" s="28" t="inlineStr">
        <is>
          <t>🌒 Crescente</t>
        </is>
      </c>
      <c r="C29" s="28" t="inlineStr">
        <is>
          <t>Saúde + Conhecimento</t>
        </is>
      </c>
      <c r="D29" s="4" t="n"/>
      <c r="E29" s="348" t="inlineStr">
        <is>
          <t>☐</t>
        </is>
      </c>
      <c r="F29" s="275" t="inlineStr"/>
      <c r="G29" s="275" t="inlineStr"/>
    </row>
    <row r="30" ht="22" customHeight="1">
      <c r="A30" s="243" t="inlineStr">
        <is>
          <t>Semana 4</t>
        </is>
      </c>
      <c r="B30" s="358" t="inlineStr">
        <is>
          <t>🌕 Cheia</t>
        </is>
      </c>
      <c r="C30" s="358" t="inlineStr">
        <is>
          <t>Relacionamentos + Fama</t>
        </is>
      </c>
      <c r="D30" s="4" t="n"/>
      <c r="E30" s="349" t="inlineStr">
        <is>
          <t>☐</t>
        </is>
      </c>
      <c r="F30" s="275" t="inlineStr"/>
      <c r="G30" s="275" t="inlineStr"/>
    </row>
    <row r="31" ht="22" customHeight="1">
      <c r="A31" s="241" t="inlineStr">
        <is>
          <t>Semana 5</t>
        </is>
      </c>
      <c r="B31" s="28" t="inlineStr">
        <is>
          <t>🌘 Minguante</t>
        </is>
      </c>
      <c r="C31" s="28" t="inlineStr">
        <is>
          <t>Descarte + Renovação</t>
        </is>
      </c>
      <c r="D31" s="4" t="n"/>
      <c r="E31" s="348" t="inlineStr">
        <is>
          <t>☐</t>
        </is>
      </c>
      <c r="F31" s="275" t="inlineStr"/>
      <c r="G31" s="275" t="inlineStr"/>
    </row>
    <row r="32" ht="22" customHeight="1">
      <c r="A32" s="243" t="inlineStr">
        <is>
          <t>Semana 6</t>
        </is>
      </c>
      <c r="B32" s="358" t="inlineStr">
        <is>
          <t>🌑 Lua Nova</t>
        </is>
      </c>
      <c r="C32" s="358" t="inlineStr">
        <is>
          <t>Nova Intenção</t>
        </is>
      </c>
      <c r="D32" s="4" t="n"/>
      <c r="E32" s="349" t="inlineStr">
        <is>
          <t>☐</t>
        </is>
      </c>
      <c r="F32" s="275" t="inlineStr"/>
      <c r="G32" s="275" t="inlineStr"/>
    </row>
    <row r="33" ht="22" customHeight="1">
      <c r="A33" s="241" t="inlineStr">
        <is>
          <t>Semana 7</t>
        </is>
      </c>
      <c r="B33" s="28" t="inlineStr">
        <is>
          <t>🌒 Crescente</t>
        </is>
      </c>
      <c r="C33" s="28" t="inlineStr">
        <is>
          <t>Criatividade + Ajudantes</t>
        </is>
      </c>
      <c r="D33" s="4" t="n"/>
      <c r="E33" s="348" t="inlineStr">
        <is>
          <t>☐</t>
        </is>
      </c>
      <c r="F33" s="275" t="inlineStr"/>
      <c r="G33" s="275" t="inlineStr"/>
    </row>
    <row r="34" ht="22" customHeight="1">
      <c r="A34" s="243" t="inlineStr">
        <is>
          <t>Semana 8</t>
        </is>
      </c>
      <c r="B34" s="358" t="inlineStr">
        <is>
          <t>🌕 Cheia</t>
        </is>
      </c>
      <c r="C34" s="358" t="inlineStr">
        <is>
          <t>Amplificação Geral</t>
        </is>
      </c>
      <c r="D34" s="4" t="n"/>
      <c r="E34" s="349" t="inlineStr">
        <is>
          <t>☐</t>
        </is>
      </c>
      <c r="F34" s="275" t="inlineStr"/>
      <c r="G34" s="275" t="inlineStr"/>
    </row>
    <row r="35" ht="22" customHeight="1">
      <c r="A35" s="241" t="inlineStr">
        <is>
          <t>Semana 9</t>
        </is>
      </c>
      <c r="B35" s="28" t="inlineStr">
        <is>
          <t>🌘 Minguante</t>
        </is>
      </c>
      <c r="C35" s="28" t="inlineStr">
        <is>
          <t>Fechamento + Gratidão</t>
        </is>
      </c>
      <c r="D35" s="4" t="n"/>
      <c r="E35" s="348" t="inlineStr">
        <is>
          <t>☐</t>
        </is>
      </c>
      <c r="F35" s="275" t="inlineStr"/>
      <c r="G35" s="275" t="inlineStr"/>
    </row>
  </sheetData>
  <mergeCells count="29">
    <mergeCell ref="C34:D34"/>
    <mergeCell ref="C30:D30"/>
    <mergeCell ref="A1:G2"/>
    <mergeCell ref="C33:D33"/>
    <mergeCell ref="B17:G17"/>
    <mergeCell ref="B23:G23"/>
    <mergeCell ref="A5:G5"/>
    <mergeCell ref="B8:G8"/>
    <mergeCell ref="A20:G20"/>
    <mergeCell ref="B13:G13"/>
    <mergeCell ref="C26:D26"/>
    <mergeCell ref="A10:G10"/>
    <mergeCell ref="C35:D35"/>
    <mergeCell ref="C29:D29"/>
    <mergeCell ref="A15:G15"/>
    <mergeCell ref="C31:D31"/>
    <mergeCell ref="B6:G6"/>
    <mergeCell ref="C27:D27"/>
    <mergeCell ref="A25:G25"/>
    <mergeCell ref="B7:G7"/>
    <mergeCell ref="B16:G16"/>
    <mergeCell ref="C32:D32"/>
    <mergeCell ref="B22:G22"/>
    <mergeCell ref="A3:G3"/>
    <mergeCell ref="C28:D28"/>
    <mergeCell ref="B12:G12"/>
    <mergeCell ref="B18:G18"/>
    <mergeCell ref="B21:G21"/>
    <mergeCell ref="B11:G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
  <sheetViews>
    <sheetView showGridLines="0" workbookViewId="0">
      <selection activeCell="A1" sqref="A1"/>
    </sheetView>
  </sheetViews>
  <sheetFormatPr baseColWidth="8" defaultRowHeight="15"/>
  <cols>
    <col width="28" customWidth="1" min="1" max="1"/>
    <col width="50" customWidth="1" min="2" max="2"/>
  </cols>
  <sheetData>
    <row r="1" ht="30" customHeight="1">
      <c r="A1" s="335" t="inlineStr">
        <is>
          <t>🔐  PROTEÇÃO DA PLANILHA</t>
        </is>
      </c>
    </row>
    <row r="2"/>
    <row r="3" ht="22" customHeight="1">
      <c r="A3" s="336" t="inlineStr">
        <is>
          <t>Senha para desproteger:</t>
        </is>
      </c>
      <c r="B3" s="337" t="inlineStr">
        <is>
          <t>fengshui2026</t>
        </is>
      </c>
      <c r="C3" s="3" t="n"/>
      <c r="D3" s="4" t="n"/>
    </row>
    <row r="4" ht="22" customHeight="1">
      <c r="A4" s="336" t="inlineStr">
        <is>
          <t>Como desproteger:</t>
        </is>
      </c>
      <c r="B4" s="358" t="inlineStr">
        <is>
          <t>Planilha → Revisão → Desproteger Planilha → Digite a senha</t>
        </is>
      </c>
      <c r="C4" s="3" t="n"/>
      <c r="D4" s="4" t="n"/>
    </row>
    <row r="5" ht="22" customHeight="1">
      <c r="A5" s="336" t="inlineStr">
        <is>
          <t>Células editáveis:</t>
        </is>
      </c>
      <c r="B5" s="358" t="inlineStr">
        <is>
          <t>Identificadas por fundo AZUL CLARO no Diagnóstico</t>
        </is>
      </c>
      <c r="C5" s="3" t="n"/>
      <c r="D5" s="4" t="n"/>
    </row>
    <row r="6" ht="22" customHeight="1">
      <c r="A6" s="336" t="inlineStr">
        <is>
          <t>Células travadas:</t>
        </is>
      </c>
      <c r="B6" s="358" t="inlineStr">
        <is>
          <t>Fórmulas e cabeçalhos — não edite para não quebrar o modelo</t>
        </is>
      </c>
      <c r="C6" s="3" t="n"/>
      <c r="D6" s="4" t="n"/>
    </row>
    <row r="7" ht="22" customHeight="1">
      <c r="A7" s="336" t="inlineStr">
        <is>
          <t>Esqueceu a senha?</t>
        </is>
      </c>
      <c r="B7" s="358" t="inlineStr">
        <is>
          <t>Entre em contato com o desenvolvedor da planilha</t>
        </is>
      </c>
      <c r="C7" s="3" t="n"/>
      <c r="D7" s="4" t="n"/>
    </row>
  </sheetData>
  <mergeCells count="6">
    <mergeCell ref="A1:D2"/>
    <mergeCell ref="B5:D5"/>
    <mergeCell ref="B3:D3"/>
    <mergeCell ref="B4:D4"/>
    <mergeCell ref="B7:D7"/>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2026-02-21T21:21:27Z</dcterms:created>
  <dcterms:modified xmlns:dcterms="http://purl.org/dc/terms/" xmlns:xsi="http://www.w3.org/2001/XMLSchema-instance" xsi:type="dcterms:W3CDTF">2026-02-22T02:02:05Z</dcterms:modified>
</cp:coreProperties>
</file>